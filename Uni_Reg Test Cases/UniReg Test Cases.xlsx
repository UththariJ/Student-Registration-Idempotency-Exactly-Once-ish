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DU\6th Semester\Programming Distributed Compponents\Uni_Reg Test Cases\"/>
    </mc:Choice>
  </mc:AlternateContent>
  <xr:revisionPtr revIDLastSave="0" documentId="13_ncr:1_{0C35C2F7-FE71-4C89-90EA-75F1A240150F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Login &amp; Access Control" sheetId="1" r:id="rId1"/>
    <sheet name="Course Registration" sheetId="2" r:id="rId2"/>
    <sheet name="Learning Content" sheetId="3" r:id="rId3"/>
    <sheet name="Content Publishing" sheetId="4" r:id="rId4"/>
    <sheet name="Admin Portal" sheetId="5" r:id="rId5"/>
    <sheet name="Idempotency Core" sheetId="6" r:id="rId6"/>
    <sheet name="Security &amp; Non-Function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7" l="1"/>
  <c r="M17" i="7"/>
  <c r="I17" i="7"/>
  <c r="J17" i="7" s="1"/>
  <c r="L17" i="7" s="1"/>
  <c r="N16" i="7"/>
  <c r="M16" i="7"/>
  <c r="J16" i="7"/>
  <c r="L16" i="7" s="1"/>
  <c r="I16" i="7"/>
  <c r="N15" i="7"/>
  <c r="M15" i="7"/>
  <c r="I15" i="7"/>
  <c r="J15" i="7" s="1"/>
  <c r="L15" i="7" s="1"/>
  <c r="N14" i="7"/>
  <c r="M14" i="7"/>
  <c r="J14" i="7"/>
  <c r="I14" i="7"/>
  <c r="N13" i="7"/>
  <c r="M13" i="7"/>
  <c r="J13" i="7"/>
  <c r="L13" i="7" s="1"/>
  <c r="I13" i="7"/>
  <c r="N12" i="7"/>
  <c r="M12" i="7"/>
  <c r="J12" i="7"/>
  <c r="L12" i="7" s="1"/>
  <c r="I12" i="7"/>
  <c r="N11" i="7"/>
  <c r="M11" i="7"/>
  <c r="J11" i="7"/>
  <c r="I11" i="7"/>
  <c r="Q9" i="7"/>
  <c r="P9" i="7"/>
  <c r="O9" i="7"/>
  <c r="H5" i="7"/>
  <c r="L5" i="7" s="1"/>
  <c r="H4" i="7"/>
  <c r="L4" i="7" s="1"/>
  <c r="H3" i="7"/>
  <c r="L3" i="7" s="1"/>
  <c r="N20" i="6"/>
  <c r="M20" i="6"/>
  <c r="I20" i="6"/>
  <c r="J20" i="6" s="1"/>
  <c r="L20" i="6" s="1"/>
  <c r="N19" i="6"/>
  <c r="M19" i="6"/>
  <c r="I19" i="6"/>
  <c r="J19" i="6" s="1"/>
  <c r="L19" i="6" s="1"/>
  <c r="N18" i="6"/>
  <c r="M18" i="6"/>
  <c r="I18" i="6"/>
  <c r="J18" i="6" s="1"/>
  <c r="L18" i="6" s="1"/>
  <c r="N17" i="6"/>
  <c r="M17" i="6"/>
  <c r="J17" i="6"/>
  <c r="L17" i="6" s="1"/>
  <c r="I17" i="6"/>
  <c r="N16" i="6"/>
  <c r="M16" i="6"/>
  <c r="J16" i="6"/>
  <c r="L16" i="6" s="1"/>
  <c r="I16" i="6"/>
  <c r="N15" i="6"/>
  <c r="M15" i="6"/>
  <c r="J15" i="6"/>
  <c r="L15" i="6" s="1"/>
  <c r="I15" i="6"/>
  <c r="N14" i="6"/>
  <c r="M14" i="6"/>
  <c r="I14" i="6"/>
  <c r="J14" i="6" s="1"/>
  <c r="L14" i="6" s="1"/>
  <c r="N13" i="6"/>
  <c r="M13" i="6"/>
  <c r="I13" i="6"/>
  <c r="J13" i="6" s="1"/>
  <c r="N12" i="6"/>
  <c r="M12" i="6"/>
  <c r="L12" i="6"/>
  <c r="J12" i="6"/>
  <c r="I12" i="6"/>
  <c r="N11" i="6"/>
  <c r="M11" i="6"/>
  <c r="L11" i="6"/>
  <c r="J11" i="6"/>
  <c r="I11" i="6"/>
  <c r="Q9" i="6"/>
  <c r="P9" i="6"/>
  <c r="O9" i="6"/>
  <c r="H5" i="6"/>
  <c r="L5" i="6" s="1"/>
  <c r="H4" i="6"/>
  <c r="L4" i="6" s="1"/>
  <c r="H3" i="6"/>
  <c r="L3" i="6" s="1"/>
  <c r="N26" i="5"/>
  <c r="M26" i="5"/>
  <c r="J26" i="5"/>
  <c r="L26" i="5" s="1"/>
  <c r="I26" i="5"/>
  <c r="N25" i="5"/>
  <c r="M25" i="5"/>
  <c r="I25" i="5"/>
  <c r="J25" i="5" s="1"/>
  <c r="L25" i="5" s="1"/>
  <c r="N24" i="5"/>
  <c r="M24" i="5"/>
  <c r="J24" i="5"/>
  <c r="L24" i="5" s="1"/>
  <c r="I24" i="5"/>
  <c r="N23" i="5"/>
  <c r="M23" i="5"/>
  <c r="I23" i="5"/>
  <c r="J23" i="5" s="1"/>
  <c r="L23" i="5" s="1"/>
  <c r="N22" i="5"/>
  <c r="M22" i="5"/>
  <c r="J22" i="5"/>
  <c r="L22" i="5" s="1"/>
  <c r="I22" i="5"/>
  <c r="N21" i="5"/>
  <c r="M21" i="5"/>
  <c r="I21" i="5"/>
  <c r="J21" i="5" s="1"/>
  <c r="L21" i="5" s="1"/>
  <c r="N20" i="5"/>
  <c r="M20" i="5"/>
  <c r="I20" i="5"/>
  <c r="J20" i="5" s="1"/>
  <c r="L20" i="5" s="1"/>
  <c r="N19" i="5"/>
  <c r="M19" i="5"/>
  <c r="I19" i="5"/>
  <c r="J19" i="5" s="1"/>
  <c r="L19" i="5" s="1"/>
  <c r="N18" i="5"/>
  <c r="M18" i="5"/>
  <c r="J18" i="5"/>
  <c r="L18" i="5" s="1"/>
  <c r="I18" i="5"/>
  <c r="M17" i="5"/>
  <c r="J17" i="5"/>
  <c r="L17" i="5" s="1"/>
  <c r="I17" i="5"/>
  <c r="M16" i="5"/>
  <c r="J16" i="5"/>
  <c r="L16" i="5" s="1"/>
  <c r="I16" i="5"/>
  <c r="N15" i="5"/>
  <c r="M15" i="5"/>
  <c r="I15" i="5"/>
  <c r="J15" i="5" s="1"/>
  <c r="L15" i="5" s="1"/>
  <c r="N14" i="5"/>
  <c r="M14" i="5"/>
  <c r="I14" i="5"/>
  <c r="J14" i="5" s="1"/>
  <c r="L14" i="5" s="1"/>
  <c r="N13" i="5"/>
  <c r="M13" i="5"/>
  <c r="I13" i="5"/>
  <c r="J13" i="5" s="1"/>
  <c r="L13" i="5" s="1"/>
  <c r="N12" i="5"/>
  <c r="M12" i="5"/>
  <c r="J12" i="5"/>
  <c r="L12" i="5" s="1"/>
  <c r="I12" i="5"/>
  <c r="N11" i="5"/>
  <c r="M11" i="5"/>
  <c r="I11" i="5"/>
  <c r="J11" i="5" s="1"/>
  <c r="Q9" i="5"/>
  <c r="P9" i="5"/>
  <c r="O9" i="5"/>
  <c r="H5" i="5"/>
  <c r="L5" i="5" s="1"/>
  <c r="L4" i="5"/>
  <c r="H4" i="5"/>
  <c r="H3" i="5"/>
  <c r="L3" i="5" s="1"/>
  <c r="N23" i="4"/>
  <c r="M23" i="4"/>
  <c r="I23" i="4"/>
  <c r="J23" i="4" s="1"/>
  <c r="L23" i="4" s="1"/>
  <c r="N22" i="4"/>
  <c r="M22" i="4"/>
  <c r="I22" i="4"/>
  <c r="J22" i="4" s="1"/>
  <c r="L22" i="4" s="1"/>
  <c r="N21" i="4"/>
  <c r="M21" i="4"/>
  <c r="I21" i="4"/>
  <c r="J21" i="4" s="1"/>
  <c r="L21" i="4" s="1"/>
  <c r="N20" i="4"/>
  <c r="M20" i="4"/>
  <c r="J20" i="4"/>
  <c r="L20" i="4" s="1"/>
  <c r="I20" i="4"/>
  <c r="N19" i="4"/>
  <c r="M19" i="4"/>
  <c r="I19" i="4"/>
  <c r="J19" i="4" s="1"/>
  <c r="L19" i="4" s="1"/>
  <c r="N18" i="4"/>
  <c r="M18" i="4"/>
  <c r="I18" i="4"/>
  <c r="J18" i="4" s="1"/>
  <c r="L18" i="4" s="1"/>
  <c r="N17" i="4"/>
  <c r="M17" i="4"/>
  <c r="I17" i="4"/>
  <c r="J17" i="4" s="1"/>
  <c r="L17" i="4" s="1"/>
  <c r="N16" i="4"/>
  <c r="M16" i="4"/>
  <c r="I16" i="4"/>
  <c r="J16" i="4" s="1"/>
  <c r="L16" i="4" s="1"/>
  <c r="N15" i="4"/>
  <c r="M15" i="4"/>
  <c r="L15" i="4"/>
  <c r="J15" i="4"/>
  <c r="I15" i="4"/>
  <c r="N14" i="4"/>
  <c r="M14" i="4"/>
  <c r="I14" i="4"/>
  <c r="J14" i="4" s="1"/>
  <c r="L14" i="4" s="1"/>
  <c r="N13" i="4"/>
  <c r="M13" i="4"/>
  <c r="I13" i="4"/>
  <c r="J13" i="4" s="1"/>
  <c r="L13" i="4" s="1"/>
  <c r="N12" i="4"/>
  <c r="M12" i="4"/>
  <c r="I12" i="4"/>
  <c r="J12" i="4" s="1"/>
  <c r="L12" i="4" s="1"/>
  <c r="N11" i="4"/>
  <c r="M11" i="4"/>
  <c r="I11" i="4"/>
  <c r="J11" i="4" s="1"/>
  <c r="Q9" i="4"/>
  <c r="P9" i="4"/>
  <c r="O9" i="4"/>
  <c r="H5" i="4"/>
  <c r="L5" i="4" s="1"/>
  <c r="H4" i="4"/>
  <c r="L4" i="4" s="1"/>
  <c r="L3" i="4"/>
  <c r="H3" i="4"/>
  <c r="N18" i="3"/>
  <c r="M18" i="3"/>
  <c r="I18" i="3"/>
  <c r="J18" i="3" s="1"/>
  <c r="L18" i="3" s="1"/>
  <c r="N17" i="3"/>
  <c r="M17" i="3"/>
  <c r="I17" i="3"/>
  <c r="J17" i="3" s="1"/>
  <c r="L17" i="3" s="1"/>
  <c r="N16" i="3"/>
  <c r="M16" i="3"/>
  <c r="I16" i="3"/>
  <c r="J16" i="3" s="1"/>
  <c r="L16" i="3" s="1"/>
  <c r="N15" i="3"/>
  <c r="M15" i="3"/>
  <c r="I15" i="3"/>
  <c r="J15" i="3" s="1"/>
  <c r="L15" i="3" s="1"/>
  <c r="N14" i="3"/>
  <c r="M14" i="3"/>
  <c r="L14" i="3"/>
  <c r="J14" i="3"/>
  <c r="I14" i="3"/>
  <c r="N13" i="3"/>
  <c r="M13" i="3"/>
  <c r="I13" i="3"/>
  <c r="J13" i="3" s="1"/>
  <c r="L13" i="3" s="1"/>
  <c r="N12" i="3"/>
  <c r="M12" i="3"/>
  <c r="I12" i="3"/>
  <c r="J12" i="3" s="1"/>
  <c r="L12" i="3" s="1"/>
  <c r="N11" i="3"/>
  <c r="M11" i="3"/>
  <c r="I11" i="3"/>
  <c r="J11" i="3" s="1"/>
  <c r="Q9" i="3"/>
  <c r="P9" i="3"/>
  <c r="O9" i="3"/>
  <c r="H5" i="3"/>
  <c r="L5" i="3" s="1"/>
  <c r="H4" i="3"/>
  <c r="L4" i="3" s="1"/>
  <c r="H3" i="3"/>
  <c r="L3" i="3" s="1"/>
  <c r="N20" i="2"/>
  <c r="M20" i="2"/>
  <c r="J20" i="2"/>
  <c r="L20" i="2" s="1"/>
  <c r="I20" i="2"/>
  <c r="N19" i="2"/>
  <c r="M19" i="2"/>
  <c r="I19" i="2"/>
  <c r="J19" i="2" s="1"/>
  <c r="L19" i="2" s="1"/>
  <c r="N18" i="2"/>
  <c r="M18" i="2"/>
  <c r="I18" i="2"/>
  <c r="J18" i="2" s="1"/>
  <c r="L18" i="2" s="1"/>
  <c r="N17" i="2"/>
  <c r="M17" i="2"/>
  <c r="I17" i="2"/>
  <c r="J17" i="2" s="1"/>
  <c r="L17" i="2" s="1"/>
  <c r="N16" i="2"/>
  <c r="M16" i="2"/>
  <c r="I16" i="2"/>
  <c r="J16" i="2" s="1"/>
  <c r="L16" i="2" s="1"/>
  <c r="N15" i="2"/>
  <c r="M15" i="2"/>
  <c r="L15" i="2"/>
  <c r="J15" i="2"/>
  <c r="I15" i="2"/>
  <c r="N14" i="2"/>
  <c r="M14" i="2"/>
  <c r="I14" i="2"/>
  <c r="J14" i="2" s="1"/>
  <c r="L14" i="2" s="1"/>
  <c r="N13" i="2"/>
  <c r="M13" i="2"/>
  <c r="I13" i="2"/>
  <c r="J13" i="2" s="1"/>
  <c r="L13" i="2" s="1"/>
  <c r="N12" i="2"/>
  <c r="M12" i="2"/>
  <c r="I12" i="2"/>
  <c r="J12" i="2" s="1"/>
  <c r="L12" i="2" s="1"/>
  <c r="N11" i="2"/>
  <c r="M11" i="2"/>
  <c r="I11" i="2"/>
  <c r="J11" i="2" s="1"/>
  <c r="Q9" i="2"/>
  <c r="P9" i="2"/>
  <c r="O9" i="2"/>
  <c r="H5" i="2"/>
  <c r="L5" i="2" s="1"/>
  <c r="H4" i="2"/>
  <c r="L4" i="2" s="1"/>
  <c r="L3" i="2"/>
  <c r="H3" i="2"/>
  <c r="N20" i="1"/>
  <c r="M20" i="1"/>
  <c r="I20" i="1"/>
  <c r="J20" i="1" s="1"/>
  <c r="L20" i="1" s="1"/>
  <c r="N19" i="1"/>
  <c r="M19" i="1"/>
  <c r="I19" i="1"/>
  <c r="J19" i="1" s="1"/>
  <c r="L19" i="1" s="1"/>
  <c r="N18" i="1"/>
  <c r="M18" i="1"/>
  <c r="I18" i="1"/>
  <c r="J18" i="1" s="1"/>
  <c r="L18" i="1" s="1"/>
  <c r="N17" i="1"/>
  <c r="M17" i="1"/>
  <c r="I17" i="1"/>
  <c r="J17" i="1" s="1"/>
  <c r="L17" i="1" s="1"/>
  <c r="N16" i="1"/>
  <c r="M16" i="1"/>
  <c r="L16" i="1"/>
  <c r="J16" i="1"/>
  <c r="I16" i="1"/>
  <c r="N15" i="1"/>
  <c r="M15" i="1"/>
  <c r="I15" i="1"/>
  <c r="J15" i="1" s="1"/>
  <c r="L15" i="1" s="1"/>
  <c r="N14" i="1"/>
  <c r="M14" i="1"/>
  <c r="I14" i="1"/>
  <c r="J14" i="1" s="1"/>
  <c r="L14" i="1" s="1"/>
  <c r="N13" i="1"/>
  <c r="M13" i="1"/>
  <c r="I13" i="1"/>
  <c r="J13" i="1" s="1"/>
  <c r="L13" i="1" s="1"/>
  <c r="N12" i="1"/>
  <c r="M12" i="1"/>
  <c r="I12" i="1"/>
  <c r="J12" i="1" s="1"/>
  <c r="L12" i="1" s="1"/>
  <c r="N11" i="1"/>
  <c r="M11" i="1"/>
  <c r="I11" i="1"/>
  <c r="J11" i="1" s="1"/>
  <c r="Q9" i="1"/>
  <c r="P9" i="1"/>
  <c r="O9" i="1"/>
  <c r="H5" i="1"/>
  <c r="L5" i="1" s="1"/>
  <c r="L4" i="1"/>
  <c r="H4" i="1"/>
  <c r="H3" i="1"/>
  <c r="L3" i="1" s="1"/>
  <c r="J5" i="2" l="1"/>
  <c r="N5" i="2" s="1"/>
  <c r="L11" i="2"/>
  <c r="J4" i="2"/>
  <c r="N4" i="2" s="1"/>
  <c r="J3" i="2"/>
  <c r="N3" i="2" s="1"/>
  <c r="J4" i="5"/>
  <c r="N4" i="5" s="1"/>
  <c r="J3" i="5"/>
  <c r="N3" i="5" s="1"/>
  <c r="J5" i="5"/>
  <c r="N5" i="5" s="1"/>
  <c r="L11" i="5"/>
  <c r="J5" i="1"/>
  <c r="N5" i="1" s="1"/>
  <c r="J3" i="1"/>
  <c r="N3" i="1" s="1"/>
  <c r="L11" i="1"/>
  <c r="J4" i="1"/>
  <c r="N4" i="1" s="1"/>
  <c r="J3" i="6"/>
  <c r="N3" i="6" s="1"/>
  <c r="L13" i="6"/>
  <c r="J5" i="6"/>
  <c r="N5" i="6" s="1"/>
  <c r="J5" i="3"/>
  <c r="N5" i="3" s="1"/>
  <c r="L11" i="3"/>
  <c r="J4" i="3"/>
  <c r="N4" i="3" s="1"/>
  <c r="J3" i="3"/>
  <c r="N3" i="3" s="1"/>
  <c r="J5" i="4"/>
  <c r="N5" i="4" s="1"/>
  <c r="J4" i="4"/>
  <c r="N4" i="4" s="1"/>
  <c r="L11" i="4"/>
  <c r="J3" i="4"/>
  <c r="N3" i="4" s="1"/>
  <c r="J4" i="6"/>
  <c r="N4" i="6" s="1"/>
  <c r="J3" i="7"/>
  <c r="N3" i="7" s="1"/>
  <c r="J5" i="7"/>
  <c r="N5" i="7" s="1"/>
  <c r="J4" i="7"/>
  <c r="N4" i="7" s="1"/>
  <c r="L11" i="7"/>
  <c r="L14" i="7"/>
</calcChain>
</file>

<file path=xl/sharedStrings.xml><?xml version="1.0" encoding="utf-8"?>
<sst xmlns="http://schemas.openxmlformats.org/spreadsheetml/2006/main" count="1240" uniqueCount="541">
  <si>
    <t>Test Case</t>
  </si>
  <si>
    <t>Test 01</t>
  </si>
  <si>
    <t>Test 02</t>
  </si>
  <si>
    <t>Severity type</t>
  </si>
  <si>
    <t>Count</t>
  </si>
  <si>
    <t>Status</t>
  </si>
  <si>
    <t>Project Name</t>
  </si>
  <si>
    <t>UniReg – University 
Course Registration System</t>
  </si>
  <si>
    <t>UniReg – University Course 
Registration System</t>
  </si>
  <si>
    <t>High</t>
  </si>
  <si>
    <t>Pass</t>
  </si>
  <si>
    <t>Module Name</t>
  </si>
  <si>
    <t>Course Registration &amp; 
Dropping Module</t>
  </si>
  <si>
    <t>Medium</t>
  </si>
  <si>
    <t>Learning Content, 
Submissions &amp; Notifications 
Module</t>
  </si>
  <si>
    <t>Login &amp; Access Control 
Module</t>
  </si>
  <si>
    <t>Fail</t>
  </si>
  <si>
    <t>Content Publishing &amp; Marking 
Module</t>
  </si>
  <si>
    <t>Created By</t>
  </si>
  <si>
    <t>Sanuji Wickramarachchi</t>
  </si>
  <si>
    <t>Critical</t>
  </si>
  <si>
    <t>Untested</t>
  </si>
  <si>
    <t>Date of Creation</t>
  </si>
  <si>
    <t>Date of Review</t>
  </si>
  <si>
    <t>QA Environment</t>
  </si>
  <si>
    <t>Environment</t>
  </si>
  <si>
    <t>Web Application</t>
  </si>
  <si>
    <t>Local QA / Staging Environment</t>
  </si>
  <si>
    <t>Staging Environment</t>
  </si>
  <si>
    <t>Test Case ID</t>
  </si>
  <si>
    <t>Test Case Scenario</t>
  </si>
  <si>
    <t>Pre-Conditions</t>
  </si>
  <si>
    <t>Test Steps</t>
  </si>
  <si>
    <t>Test Data</t>
  </si>
  <si>
    <t>Expected Results</t>
  </si>
  <si>
    <t>Post-Condition</t>
  </si>
  <si>
    <t>Actual Results</t>
  </si>
  <si>
    <t>Severity</t>
  </si>
  <si>
    <t>Functional Test Cases</t>
  </si>
  <si>
    <t>Test_Case_29</t>
  </si>
  <si>
    <t>Test_Case_21</t>
  </si>
  <si>
    <t>Test_Case_11</t>
  </si>
  <si>
    <t>Lecturer Overview Stats</t>
  </si>
  <si>
    <t>Course List Display</t>
  </si>
  <si>
    <t>My Learning Display</t>
  </si>
  <si>
    <t>Test_Case_01</t>
  </si>
  <si>
    <t>Verify overview counters</t>
  </si>
  <si>
    <t>Verify course catalog shows seats &amp; lecturer</t>
  </si>
  <si>
    <t>Verify registered course content visible</t>
  </si>
  <si>
    <t>Student logged in</t>
  </si>
  <si>
    <t>Login Page Display</t>
  </si>
  <si>
    <t>Student registered in IT3103</t>
  </si>
  <si>
    <t>1. Open Courses tab
2. Observe table rows</t>
  </si>
  <si>
    <t>lecturer3 logged in</t>
  </si>
  <si>
    <t>1. Open My Learning tab</t>
  </si>
  <si>
    <t>Verify login page loads with all elements</t>
  </si>
  <si>
    <t>App running</t>
  </si>
  <si>
    <t>N/A</t>
  </si>
  <si>
    <t>1. Open /student/login
2. Observe login form</t>
  </si>
  <si>
    <t>1. Open Overview</t>
  </si>
  <si>
    <t>4 courses with code, name, seats, lecturer; CS3101 shows only 2 seats</t>
  </si>
  <si>
    <t>Week 1 note, Quiz 1 and Assignment 1 listed with due dates</t>
  </si>
  <si>
    <t>Assigned courses = 2; enrolled students and published items correct</t>
  </si>
  <si>
    <t>Username, password and Sign In button visible</t>
  </si>
  <si>
    <t>User on login page</t>
  </si>
  <si>
    <t>Low</t>
  </si>
  <si>
    <t>Week 1 note, Quiz 1 and 
Assignment 1 listed with 
due dates</t>
  </si>
  <si>
    <t>4 courses with code, name, 
seats, lecturer; CS3101 
shows only 2 seats</t>
  </si>
  <si>
    <t>Test_Case_22</t>
  </si>
  <si>
    <t>Content Isolation</t>
  </si>
  <si>
    <t>Verify unregistered course content hidden</t>
  </si>
  <si>
    <t>Student NOT registered in SE3104</t>
  </si>
  <si>
    <t>1. Open My Learning
2. Look for "Testing Pyramid" note</t>
  </si>
  <si>
    <t>Test_Case_12</t>
  </si>
  <si>
    <t>SE3104 content not visible</t>
  </si>
  <si>
    <t>Register For Course (Success)</t>
  </si>
  <si>
    <t>Test_Case_30</t>
  </si>
  <si>
    <t>Class List Display</t>
  </si>
  <si>
    <t>Verify successful registration</t>
  </si>
  <si>
    <t>Username, password and Sign In button 
visible</t>
  </si>
  <si>
    <t>Verify enrolled students listed</t>
  </si>
  <si>
    <t>Students registered in lecturer3's courses</t>
  </si>
  <si>
    <t>Student not registered in IT3103</t>
  </si>
  <si>
    <t>1. Open My Courses
2. Check student chips</t>
  </si>
  <si>
    <t>1. Click Register on IT3103
2. Observe toast
3. Check My Registrations</t>
  </si>
  <si>
    <t>IT3103 and SE3104 show enrolled student names</t>
  </si>
  <si>
    <t>Test_Case_02</t>
  </si>
  <si>
    <t>Student Login (Valid)</t>
  </si>
  <si>
    <t>IT3103</t>
  </si>
  <si>
    <t>Verify student can sign in</t>
  </si>
  <si>
    <t>User on /student/login</t>
  </si>
  <si>
    <t>Toast "Registered! Reference REG-XXXXXX"; course listed with ref; enrolled +1</t>
  </si>
  <si>
    <t>1. Enter credentials
2. Click Sign In
3. Verify dashboard</t>
  </si>
  <si>
    <t>Registration created</t>
  </si>
  <si>
    <t>BIT0010 / Thushari123</t>
  </si>
  <si>
    <t>Test_Case_23</t>
  </si>
  <si>
    <t>Submit Assignment (Valid)</t>
  </si>
  <si>
    <t>Redirected to student Overview</t>
  </si>
  <si>
    <t>Verify assignment submission</t>
  </si>
  <si>
    <t>Registered in IT3103</t>
  </si>
  <si>
    <t>1. Open Assignment 1
2. Type answer
3. Click Submit</t>
  </si>
  <si>
    <t>User logged in</t>
  </si>
  <si>
    <t>Any answer text</t>
  </si>
  <si>
    <t>Toast "Assignment submitted successfully. Reference SUB-XXXXXX"; notification created</t>
  </si>
  <si>
    <t>Submission saved</t>
  </si>
  <si>
    <t>Test_Case_31</t>
  </si>
  <si>
    <t>Publish Lecture Note</t>
  </si>
  <si>
    <t>Verify note creation</t>
  </si>
  <si>
    <t>Lecturer logged in</t>
  </si>
  <si>
    <t>1. Add Content → type note
2. Fill title + summary
3. Click Add</t>
  </si>
  <si>
    <t>IT3103 note</t>
  </si>
  <si>
    <t>Toast "Added"; note appears under course content</t>
  </si>
  <si>
    <t>Toast "Registered! Reference 
REG-XXXXXX"; course listed 
with ref; enrolled +1</t>
  </si>
  <si>
    <t>Content created</t>
  </si>
  <si>
    <t>Test_Case_13</t>
  </si>
  <si>
    <t>Reference Format</t>
  </si>
  <si>
    <t>Toast "Assignment submitted 
successfully. Reference 
SUB-XXXXXX"; notification 
created</t>
  </si>
  <si>
    <t>Verify reference code format</t>
  </si>
  <si>
    <t>Test_Case_24</t>
  </si>
  <si>
    <t>A registration exists</t>
  </si>
  <si>
    <t>Submit Empty Answer</t>
  </si>
  <si>
    <t>Test_Case_03</t>
  </si>
  <si>
    <t>Verify empty-answer validation</t>
  </si>
  <si>
    <t>1. Open My Registrations
2. Check reference code</t>
  </si>
  <si>
    <t>Lecturer Login (Valid)</t>
  </si>
  <si>
    <t>On assignment card</t>
  </si>
  <si>
    <t>Verify lecturer portal login</t>
  </si>
  <si>
    <t>1. Leave answer empty
2. Click Submit</t>
  </si>
  <si>
    <t>User on /lecturer/login</t>
  </si>
  <si>
    <t>Format = "REG-" + 6 uppercase hex characters</t>
  </si>
  <si>
    <t>1. Enter credentials
2. Sign In
3. Verify</t>
  </si>
  <si>
    <t>Toast "Write your answer first"; nothing saved</t>
  </si>
  <si>
    <t>lecturer3 / Nuwan123</t>
  </si>
  <si>
    <t>Lecturer Overview shows Dr. Sunil Perera and assigned courses</t>
  </si>
  <si>
    <t>Test_Case_32</t>
  </si>
  <si>
    <t>Note Without Summary</t>
  </si>
  <si>
    <t>Verify summary required</t>
  </si>
  <si>
    <t>On Add Content</t>
  </si>
  <si>
    <t>1. Leave summary empty
2. Click Add</t>
  </si>
  <si>
    <t>400 "A lecture note summary is required"</t>
  </si>
  <si>
    <t>Nothing saved</t>
  </si>
  <si>
    <t>Toast "Write your answer 
first"; nothing saved</t>
  </si>
  <si>
    <t>Test_Case_25</t>
  </si>
  <si>
    <t>Duplicate Submission</t>
  </si>
  <si>
    <t>Verify one submission per assignment</t>
  </si>
  <si>
    <t>Already submitted this assignment</t>
  </si>
  <si>
    <t>Lecturer Overview shows Dr. Sunil Perera 
and assigned courses</t>
  </si>
  <si>
    <t>1. Submit the same assignment again</t>
  </si>
  <si>
    <t>409 "You have already submitted this assignment."</t>
  </si>
  <si>
    <t>Format = "REG-" + 6 
uppercase hex characters</t>
  </si>
  <si>
    <t>Test_Case_04</t>
  </si>
  <si>
    <t>No duplicate row</t>
  </si>
  <si>
    <t>Admin Login (Valid)</t>
  </si>
  <si>
    <t>Verify admin portal login</t>
  </si>
  <si>
    <t>Test_Case_14</t>
  </si>
  <si>
    <t>User on /admin/login</t>
  </si>
  <si>
    <t>Duplicate Registration</t>
  </si>
  <si>
    <t>Verify duplicate blocked</t>
  </si>
  <si>
    <t>admin / admin123</t>
  </si>
  <si>
    <t>Already registered for IT3103</t>
  </si>
  <si>
    <t>Admin Overview with stats loads</t>
  </si>
  <si>
    <t>1. Click Register on IT3103 again</t>
  </si>
  <si>
    <t>Test_Case_33</t>
  </si>
  <si>
    <t>409 "You are already registered for this course."; seat count unchanged</t>
  </si>
  <si>
    <t>Publish Quiz</t>
  </si>
  <si>
    <t>No new record</t>
  </si>
  <si>
    <t>Verify quiz creation</t>
  </si>
  <si>
    <t>1. Fill quiz fields
2. Click Add</t>
  </si>
  <si>
    <t>30 min / 1 attempt / 50% / 100 pts</t>
  </si>
  <si>
    <t>Toast "Added"; quiz listed with points and time limit</t>
  </si>
  <si>
    <t>409 "You have already 
submitted this assignment."</t>
  </si>
  <si>
    <t>Test_Case_26</t>
  </si>
  <si>
    <t>Submit After Deadline</t>
  </si>
  <si>
    <t>Verify late submission blocked</t>
  </si>
  <si>
    <t>Assignment due date in the past</t>
  </si>
  <si>
    <t>409 "You are already 
registered for this course."; 
seat count unchanged</t>
  </si>
  <si>
    <t>1. Attempt submission</t>
  </si>
  <si>
    <t>Test_Case_15</t>
  </si>
  <si>
    <t>409 "The deadline has passed."</t>
  </si>
  <si>
    <t>Full Course Registration</t>
  </si>
  <si>
    <t>Test_Case_05</t>
  </si>
  <si>
    <t>Verify "course full" handling</t>
  </si>
  <si>
    <t>Login With Wrong Password</t>
  </si>
  <si>
    <t>CS3101 seats full (0 available)</t>
  </si>
  <si>
    <t>Verify error for incorrect password</t>
  </si>
  <si>
    <t>1. Register CS3101 with a third student</t>
  </si>
  <si>
    <t>CS3101</t>
  </si>
  <si>
    <t>1. Enter valid user + wrong password
2. Sign In</t>
  </si>
  <si>
    <t>Test_Case_34</t>
  </si>
  <si>
    <t>409 "This course is full."; available stays 0</t>
  </si>
  <si>
    <t>Quiz Missing Settings</t>
  </si>
  <si>
    <t>BIT0010 / wrongpass</t>
  </si>
  <si>
    <t>No registration</t>
  </si>
  <si>
    <t>Verify quiz validation</t>
  </si>
  <si>
    <t>Error "Invalid username or password"; stays on login</t>
  </si>
  <si>
    <t>1. Clear time limit
2. Click Add</t>
  </si>
  <si>
    <t>User remains on login page</t>
  </si>
  <si>
    <t>400 "Quiz time limit, attempts, passing score and points are required"</t>
  </si>
  <si>
    <t>Test_Case_27</t>
  </si>
  <si>
    <t>Notifications &amp; Grade Alert</t>
  </si>
  <si>
    <t>Verify notifications render newest-first</t>
  </si>
  <si>
    <t>A submission was graded</t>
  </si>
  <si>
    <t>1. Open Notifications tab
2. Check entries</t>
  </si>
  <si>
    <t>Shows submit confirmation and mark notification; newest first</t>
  </si>
  <si>
    <t>409 "This course is full."; 
available stays 0</t>
  </si>
  <si>
    <t>Test_Case_16</t>
  </si>
  <si>
    <t>Drop Course</t>
  </si>
  <si>
    <t>Verify drop releases seat</t>
  </si>
  <si>
    <t>Test_Case_35</t>
  </si>
  <si>
    <t>Student holds an active registration</t>
  </si>
  <si>
    <t>Publish Assignment</t>
  </si>
  <si>
    <t>1. Open My Registrations
2. Click drop
3. Verify list and seats</t>
  </si>
  <si>
    <t>Error "Invalid username or password"; 
stays on login</t>
  </si>
  <si>
    <t>Verify assignment creation</t>
  </si>
  <si>
    <t>Toast "Course dropped; seat released."; entry removed; seat +1</t>
  </si>
  <si>
    <t>1. Fill instructions, deadline, points, submission type
2. Click Add</t>
  </si>
  <si>
    <t>100 pts, text</t>
  </si>
  <si>
    <t>Registration cancelled</t>
  </si>
  <si>
    <t>Test_Case_06</t>
  </si>
  <si>
    <t>Toast "Added"; assignment listed with due date</t>
  </si>
  <si>
    <t>Login With Unregistered Username</t>
  </si>
  <si>
    <t>Verify error for unknown user</t>
  </si>
  <si>
    <t>Shows submit confirmation 
and mark notification; 
newest first</t>
  </si>
  <si>
    <t>1. Enter unknown ID
2. Sign In</t>
  </si>
  <si>
    <t>BIT9999 / stu123</t>
  </si>
  <si>
    <t>Test_Case_28</t>
  </si>
  <si>
    <t>401 "Invalid username or password"</t>
  </si>
  <si>
    <t>Mark Notifications Seen</t>
  </si>
  <si>
    <t>Verify mark-as-seen</t>
  </si>
  <si>
    <t>Unread notifications exist</t>
  </si>
  <si>
    <t>1. Click mark-as-seen</t>
  </si>
  <si>
    <t>Unread flags cleared</t>
  </si>
  <si>
    <t>Notifications marked seen</t>
  </si>
  <si>
    <t>Toast "Course dropped; seat 
released."; entry removed; 
seat +1</t>
  </si>
  <si>
    <t>Test_Case_17</t>
  </si>
  <si>
    <t>Test_Case_36</t>
  </si>
  <si>
    <t>Drop Non-Existent (API)</t>
  </si>
  <si>
    <t>Assignment Missing Fields</t>
  </si>
  <si>
    <t>Verify assignment validation</t>
  </si>
  <si>
    <t>Verify 404 on invalid drop</t>
  </si>
  <si>
    <t>1. Clear deadline
2. Click Add</t>
  </si>
  <si>
    <t>1. DELETE /api/registrations/9999 with token</t>
  </si>
  <si>
    <t>400 "Assignment instructions, deadline, points and submission type are required"</t>
  </si>
  <si>
    <t>id = 9999</t>
  </si>
  <si>
    <t>404 "Registration not found"</t>
  </si>
  <si>
    <t>Test_Case_07</t>
  </si>
  <si>
    <t>Login With Empty Fields</t>
  </si>
  <si>
    <t>Verify validation for empty fields</t>
  </si>
  <si>
    <t>1. Leave fields empty
2. Sign In</t>
  </si>
  <si>
    <t>Error shown; no login</t>
  </si>
  <si>
    <t>Test_Case_37</t>
  </si>
  <si>
    <t>Publish To Not-Owned Course (API)</t>
  </si>
  <si>
    <t>Verify ownership check</t>
  </si>
  <si>
    <t>Test_Case_18</t>
  </si>
  <si>
    <t>1. POST /api/content with courseCode IT3182</t>
  </si>
  <si>
    <t>Register Invalid Code (API)</t>
  </si>
  <si>
    <t>IT3182</t>
  </si>
  <si>
    <t>Verify 404 unknown course</t>
  </si>
  <si>
    <t>403 "That is not your course"</t>
  </si>
  <si>
    <t>1. POST /api/registrations with courseCode XX9999</t>
  </si>
  <si>
    <t>XX9999</t>
  </si>
  <si>
    <t>404 "Course not found"</t>
  </si>
  <si>
    <t>Test_Case_08</t>
  </si>
  <si>
    <t>Portal–Role Mismatch (API)</t>
  </si>
  <si>
    <t>Verify server blocks wrong-portal login</t>
  </si>
  <si>
    <t>Test_Case_38</t>
  </si>
  <si>
    <t>View Submissions</t>
  </si>
  <si>
    <t>Verify marking view</t>
  </si>
  <si>
    <t>1. POST /api/login with portal="admin" using student credentials</t>
  </si>
  <si>
    <t>A student submitted an assignment</t>
  </si>
  <si>
    <t>1. My Courses → click Mark on assignment</t>
  </si>
  <si>
    <t>BIT0010/Thushari123, portal=admin</t>
  </si>
  <si>
    <t>Test_Case_19</t>
  </si>
  <si>
    <t>Marking table lists student, answer text and SUB ref</t>
  </si>
  <si>
    <t>403 "This is the admin portal - please use the student portal."</t>
  </si>
  <si>
    <t>Admin Views Registration</t>
  </si>
  <si>
    <t>Verify registration in admin list</t>
  </si>
  <si>
    <t>No session created</t>
  </si>
  <si>
    <t>Registration exists</t>
  </si>
  <si>
    <t>1. Admin → Registrations
2. Filter by course</t>
  </si>
  <si>
    <t>Row shows ref, student, course, timestamp; filter works</t>
  </si>
  <si>
    <t>Test_Case_39</t>
  </si>
  <si>
    <t>Grade Submission (Valid)</t>
  </si>
  <si>
    <t>Verify grading + notification</t>
  </si>
  <si>
    <t>BIT0010/Thushari123, 
portal=admin</t>
  </si>
  <si>
    <t>Submission exists</t>
  </si>
  <si>
    <t>1. Enter 85 + feedback
2. Click Save</t>
  </si>
  <si>
    <t>403 "This is the admin portal - please use 
the student portal."</t>
  </si>
  <si>
    <t>85</t>
  </si>
  <si>
    <t>Toast "Saved"; student notified "was marked: 85/100."</t>
  </si>
  <si>
    <t>Grade saved</t>
  </si>
  <si>
    <t>Test_Case_09</t>
  </si>
  <si>
    <t>Row shows ref, student, 
course, timestamp; filter 
works</t>
  </si>
  <si>
    <t>Protected API Without Token</t>
  </si>
  <si>
    <t>Verify 401 without Authorization</t>
  </si>
  <si>
    <t>No token set</t>
  </si>
  <si>
    <t>Test_Case_20</t>
  </si>
  <si>
    <t>1. GET /api/courses with no token</t>
  </si>
  <si>
    <t>Missing Idempotency-Key (API)</t>
  </si>
  <si>
    <t>Verify key is mandatory</t>
  </si>
  <si>
    <t>401 "Please sign in"</t>
  </si>
  <si>
    <t>1. POST /api/registrations WITHOUT Idempotency-Key header</t>
  </si>
  <si>
    <t>400 "Idempotency-Key header required"</t>
  </si>
  <si>
    <t>Test_Case_40</t>
  </si>
  <si>
    <t>Grade Out Of Range</t>
  </si>
  <si>
    <t>Verify 0–100 validation</t>
  </si>
  <si>
    <t>Marking view open</t>
  </si>
  <si>
    <t>1. Enter 150
2. Click Save</t>
  </si>
  <si>
    <t>150</t>
  </si>
  <si>
    <t>400 "Grade must be 0–100"</t>
  </si>
  <si>
    <t>Grade unchanged</t>
  </si>
  <si>
    <t>400 "Idempotency-Key 
header required"</t>
  </si>
  <si>
    <t>Test_Case_10</t>
  </si>
  <si>
    <t>Cross-Role Access Denied</t>
  </si>
  <si>
    <t>Verify student cannot call admin APIs</t>
  </si>
  <si>
    <t>Test_Case_41</t>
  </si>
  <si>
    <t>Grade Foreign Submission (API)</t>
  </si>
  <si>
    <t>1. GET /api/admin/users with student token</t>
  </si>
  <si>
    <t>Verify ownership on grading</t>
  </si>
  <si>
    <t>Student token</t>
  </si>
  <si>
    <t>Submission belongs to lecturer3</t>
  </si>
  <si>
    <t>1. As lecturer2, PUT /api/submissions/:id/grade</t>
  </si>
  <si>
    <t>403 "Forbidden for your role"</t>
  </si>
  <si>
    <t>403 "Not your course"</t>
  </si>
  <si>
    <t>Admin Portal Module</t>
  </si>
  <si>
    <t xml:space="preserve">Idempotency &amp; Exactly-Once 
Processing </t>
  </si>
  <si>
    <t>Test_Case_42</t>
  </si>
  <si>
    <t>Admin Overview</t>
  </si>
  <si>
    <t>Verify dashboard stats</t>
  </si>
  <si>
    <t>Admin logged in</t>
  </si>
  <si>
    <t>Students = 3, Lecturers = 2, Courses = 4; capacity bars render</t>
  </si>
  <si>
    <t>Test_Case_43</t>
  </si>
  <si>
    <t>Add Student (Valid)</t>
  </si>
  <si>
    <t>Verify user creation</t>
  </si>
  <si>
    <t>1. Users → fill all fields
2. Click Add</t>
  </si>
  <si>
    <t>BIT0010 / Thushari / bit0010@uni.lk / Thushari123</t>
  </si>
  <si>
    <t>Toast "User added"; appears under Students</t>
  </si>
  <si>
    <t>User created</t>
  </si>
  <si>
    <t>Test_Case_44</t>
  </si>
  <si>
    <t>Add User Missing Fields</t>
  </si>
  <si>
    <t>Verify required fields</t>
  </si>
  <si>
    <t>On Users tab</t>
  </si>
  <si>
    <t>1. Leave username blank
2. Click Add</t>
  </si>
  <si>
    <t>400 "username, password, name, email and role are required"</t>
  </si>
  <si>
    <t>Test_Case_58</t>
  </si>
  <si>
    <t>Key Stored On Success</t>
  </si>
  <si>
    <t>Verify key saved after 201</t>
  </si>
  <si>
    <t>1. Register via API with key K1
2. Open Diagnostics → Idempotency store</t>
  </si>
  <si>
    <t>Key = random UUID</t>
  </si>
  <si>
    <t>201 response; key listed with status 201, replays 0</t>
  </si>
  <si>
    <t>Key saved</t>
  </si>
  <si>
    <t>Test_Case_45</t>
  </si>
  <si>
    <t>Student Email–ID Mismatch</t>
  </si>
  <si>
    <t>Verify email must match ID</t>
  </si>
  <si>
    <t>1. Username BIT0022 with email test@uni.lk
2. Click Add</t>
  </si>
  <si>
    <t>BIT0022 / test@uni.lk</t>
  </si>
  <si>
    <t>Test_Case_59</t>
  </si>
  <si>
    <t>Replay With Same Key</t>
  </si>
  <si>
    <t>Verify duplicate absorbed</t>
  </si>
  <si>
    <t>Key K1 used once</t>
  </si>
  <si>
    <t>1. Repeat identical request with K1
2. Compare returned reference</t>
  </si>
  <si>
    <t>Same key</t>
  </si>
  <si>
    <t>200 with replayed:true and SAME ref; UI toast "Already confirmed —"; replays = 1</t>
  </si>
  <si>
    <t>One registration only</t>
  </si>
  <si>
    <t>Test_Case_60</t>
  </si>
  <si>
    <t>No Double Seat Consumption</t>
  </si>
  <si>
    <t>Verify seat not taken twice</t>
  </si>
  <si>
    <t>After Test_Case_59</t>
  </si>
  <si>
    <t>1. Check course enrolled / available</t>
  </si>
  <si>
    <t>Enrolled increased by 1 only; seats consistent</t>
  </si>
  <si>
    <t>Seats intact</t>
  </si>
  <si>
    <t>Test_Case_61</t>
  </si>
  <si>
    <t>Key Reuse Different Payload</t>
  </si>
  <si>
    <t>Verify 422 on key misuse</t>
  </si>
  <si>
    <t>Key K1 exists</t>
  </si>
  <si>
    <t>1. Send K1 with a different courseCode</t>
  </si>
  <si>
    <t>K1 + other code</t>
  </si>
  <si>
    <t>422 "This key was already used for a different request."</t>
  </si>
  <si>
    <t>Test_Case_62</t>
  </si>
  <si>
    <t>Arm Failure Simulation</t>
  </si>
  <si>
    <t>Verify save-but-lost-response</t>
  </si>
  <si>
    <t>Admin armed "Lose next response"</t>
  </si>
  <si>
    <t>1. Student registers
2. Observe client error</t>
  </si>
  <si>
    <t>Connection cut (client error) BUT registration IS saved in My Registrations; Diagnostics "Responses lost" = 1</t>
  </si>
  <si>
    <t>Registration saved</t>
  </si>
  <si>
    <t>Test_Case_63</t>
  </si>
  <si>
    <t>Retry After Lost Response</t>
  </si>
  <si>
    <t>Verify exactly-once recovery</t>
  </si>
  <si>
    <t>Test_Case_62 executed</t>
  </si>
  <si>
    <t>1. Press Retry (same key)
2. Check toast and registrations</t>
  </si>
  <si>
    <t>Original confirmation replayed (same ref); no duplicate; "Duplicates absorbed" +1</t>
  </si>
  <si>
    <t>Single record</t>
  </si>
  <si>
    <t>Test_Case_64</t>
  </si>
  <si>
    <t>Disarm</t>
  </si>
  <si>
    <t>Verify normal responses resume</t>
  </si>
  <si>
    <t>Server armed</t>
  </si>
  <si>
    <t>1. Arm 0
2. Register normally</t>
  </si>
  <si>
    <t>201 returned normally</t>
  </si>
  <si>
    <t>Normal operations</t>
  </si>
  <si>
    <t>Test_Case_65</t>
  </si>
  <si>
    <t>Drop Applies Only To Success</t>
  </si>
  <si>
    <t>Verify 409 responses not dropped</t>
  </si>
  <si>
    <t>Armed = 1</t>
  </si>
  <si>
    <t>1. Send duplicate-registration request (expects 409)</t>
  </si>
  <si>
    <t>409 error delivered normally (connection NOT cut)</t>
  </si>
  <si>
    <t>Test_Case_66</t>
  </si>
  <si>
    <t>Exactly-Once Assignment Submission</t>
  </si>
  <si>
    <t>Verify submission + notification once</t>
  </si>
  <si>
    <t>1. Submit assignment
2. Retry same key
3. Check submissions and notifications</t>
  </si>
  <si>
    <t>Exactly one submission and one notification; retry replays confirmation</t>
  </si>
  <si>
    <t>Single submission</t>
  </si>
  <si>
    <t>Test_Case_67</t>
  </si>
  <si>
    <t>Consistency After Chaos</t>
  </si>
  <si>
    <t>Verify DB consistency and reset</t>
  </si>
  <si>
    <t>After replays / retries</t>
  </si>
  <si>
    <t>1. Check seat-consistency table
2. Click Reset demo data</t>
  </si>
  <si>
    <t>All courses "✓ consistent"; Reset clears keys to 0</t>
  </si>
  <si>
    <t>Clean state</t>
  </si>
  <si>
    <t>Security &amp; Non-Functional 
Module</t>
  </si>
  <si>
    <t>400 "Student email must match the username/ID (for example, BIT0018@uni.lk)"</t>
  </si>
  <si>
    <t>Non - Functional Test Cases</t>
  </si>
  <si>
    <t>Test_Case_46</t>
  </si>
  <si>
    <t>Test_Case_68</t>
  </si>
  <si>
    <t>Invalid Email Format</t>
  </si>
  <si>
    <t>Verify email validation</t>
  </si>
  <si>
    <t>Student Blocked From Admin APIs</t>
  </si>
  <si>
    <t>Verify RBAC enforcement</t>
  </si>
  <si>
    <t>1. Enter email "abc"
2. Click Add</t>
  </si>
  <si>
    <t>1. Call /api/admin/* endpoints with student token</t>
  </si>
  <si>
    <t>abc</t>
  </si>
  <si>
    <t>400 "Enter a valid email address"</t>
  </si>
  <si>
    <t>403 "Forbidden for your role" on every admin route</t>
  </si>
  <si>
    <t>Test_Case_47</t>
  </si>
  <si>
    <t>Duplicate Username</t>
  </si>
  <si>
    <t>Verify unique username</t>
  </si>
  <si>
    <t>BIT0010 exists</t>
  </si>
  <si>
    <t>1. Add user with username BIT0010</t>
  </si>
  <si>
    <t>BIT0010</t>
  </si>
  <si>
    <t>409 "This username already exists"</t>
  </si>
  <si>
    <t>Test_Case_69</t>
  </si>
  <si>
    <t>Lecturer Blocked From Student APIs</t>
  </si>
  <si>
    <t>Lecturer token</t>
  </si>
  <si>
    <t>1. POST /api/registrations with lecturer token</t>
  </si>
  <si>
    <t>Test_Case_48</t>
  </si>
  <si>
    <t>Duplicate Name / Email</t>
  </si>
  <si>
    <t>Verify unique name and email</t>
  </si>
  <si>
    <t>Existing user data</t>
  </si>
  <si>
    <t>1. Add with existing name
2. Add with existing email</t>
  </si>
  <si>
    <t>409 "This name already exists" / 409 "This email already exists"</t>
  </si>
  <si>
    <t>Test_Case_70</t>
  </si>
  <si>
    <t>SQL Injection On Login</t>
  </si>
  <si>
    <t>Verify safe handling</t>
  </si>
  <si>
    <t>On login page</t>
  </si>
  <si>
    <t>1. Enter injection string as username
2. Sign In</t>
  </si>
  <si>
    <t>' OR '1'='1</t>
  </si>
  <si>
    <t>401 "Invalid username or password"; no crash, no login</t>
  </si>
  <si>
    <t>Test_Case_49</t>
  </si>
  <si>
    <t>Delete User &amp; Seat Restoration</t>
  </si>
  <si>
    <t>Verify cleanup on delete</t>
  </si>
  <si>
    <t>Student holds registrations</t>
  </si>
  <si>
    <t>1. Delete the student
2. Check course seats and lecturer assignment</t>
  </si>
  <si>
    <t>"User removed"; registrations deleted; seats restored; lecturer unassigned if a lecturer is deleted</t>
  </si>
  <si>
    <t>Test_Case_71</t>
  </si>
  <si>
    <t>Data cleaned</t>
  </si>
  <si>
    <t>XSS Input Escaping</t>
  </si>
  <si>
    <t>Verify output escaping</t>
  </si>
  <si>
    <t>1. Create course named with script tag
2. View list</t>
  </si>
  <si>
    <t>&lt;script&gt;alert(1)&lt;/script&gt;</t>
  </si>
  <si>
    <t>Rendered as plain text (escaped); no script executes</t>
  </si>
  <si>
    <t>Test_Case_72</t>
  </si>
  <si>
    <t>Concurrent Last-Seat Registration</t>
  </si>
  <si>
    <t>Test_Case_50</t>
  </si>
  <si>
    <t>Verify race handling</t>
  </si>
  <si>
    <t>Add Course (Valid)</t>
  </si>
  <si>
    <t>1 seat left</t>
  </si>
  <si>
    <t>Verify course creation</t>
  </si>
  <si>
    <t>1. Two students register simultaneously</t>
  </si>
  <si>
    <t>1. Courses → fill form
2. Click Add</t>
  </si>
  <si>
    <t>IT4099 / unique name / 3 credits / 25 seats</t>
  </si>
  <si>
    <t>Exactly one 201, the other 409 "full"; seats never negative</t>
  </si>
  <si>
    <t>Consistent state</t>
  </si>
  <si>
    <t>Toast "Course added"; 25 free seats</t>
  </si>
  <si>
    <t>Course created</t>
  </si>
  <si>
    <t>Test_Case_73</t>
  </si>
  <si>
    <t>Page Load Time</t>
  </si>
  <si>
    <t>Verify performance</t>
  </si>
  <si>
    <t>1. Load each portal
2. Measure load time</t>
  </si>
  <si>
    <t>Each portal fully loads under 2 s locally</t>
  </si>
  <si>
    <t>Test_Case_51</t>
  </si>
  <si>
    <t>Duplicate Course Name</t>
  </si>
  <si>
    <t>Verify unique module name</t>
  </si>
  <si>
    <t>Course name "Service Oriented Web Programming" exists</t>
  </si>
  <si>
    <t>1. Add course with same name, new code</t>
  </si>
  <si>
    <t>IT3103B</t>
  </si>
  <si>
    <t>409 "A course with this name already exists. Use a different module name."</t>
  </si>
  <si>
    <t>Test_Case_74</t>
  </si>
  <si>
    <t>Responsive Layout</t>
  </si>
  <si>
    <t>Verify mobile layout</t>
  </si>
  <si>
    <t>Browser width 375px</t>
  </si>
  <si>
    <t>1. Open each portal
2. Check layout</t>
  </si>
  <si>
    <t>Grid stacks; no overlap or truncation</t>
  </si>
  <si>
    <t>Test_Case_52</t>
  </si>
  <si>
    <t>Add Course Invalid Capacity</t>
  </si>
  <si>
    <t>Verify capacity &gt; 0</t>
  </si>
  <si>
    <t>On Add Course</t>
  </si>
  <si>
    <t>1. Set seats = 0
2. Click Add</t>
  </si>
  <si>
    <t>seats = 0</t>
  </si>
  <si>
    <t>400 "code, name and capacity&gt;0 required"</t>
  </si>
  <si>
    <t>Test_Case_53</t>
  </si>
  <si>
    <t>Capacity Below Enrolled</t>
  </si>
  <si>
    <t>Verify seat-limit guard</t>
  </si>
  <si>
    <t>Course has enrolled students</t>
  </si>
  <si>
    <t>1. Set capacity below enrolled count
2. Save</t>
  </si>
  <si>
    <t>400 "Seat limit cannot be below enrolled students (X)"</t>
  </si>
  <si>
    <t>Unchanged</t>
  </si>
  <si>
    <t>Test_Case_54</t>
  </si>
  <si>
    <t>Update Course (Valid)</t>
  </si>
  <si>
    <t>Verify capacity + lecturer update</t>
  </si>
  <si>
    <t>Course exists</t>
  </si>
  <si>
    <t>1. Change capacity and lecturer
2. Save</t>
  </si>
  <si>
    <t>Toast "Course updated"; available recalculated</t>
  </si>
  <si>
    <t>Course updated</t>
  </si>
  <si>
    <t>Test_Case_55</t>
  </si>
  <si>
    <t>Registrations Filter</t>
  </si>
  <si>
    <t>Verify class-list filter</t>
  </si>
  <si>
    <t>Registrations exist</t>
  </si>
  <si>
    <t>1. Select course in dropdown</t>
  </si>
  <si>
    <t>Only rows of that course shown</t>
  </si>
  <si>
    <t>Test_Case_56</t>
  </si>
  <si>
    <t>Diagnostics Page</t>
  </si>
  <si>
    <t>Verify diagnostics panel</t>
  </si>
  <si>
    <t>Some activity done</t>
  </si>
  <si>
    <t>1. Open Diagnostics tab</t>
  </si>
  <si>
    <t>Counters, idempotency store, request log; all courses "✓ consistent"</t>
  </si>
  <si>
    <t>Test_Case_57</t>
  </si>
  <si>
    <t>Reset Demo Data</t>
  </si>
  <si>
    <t>Verify reset restores seed</t>
  </si>
  <si>
    <t>Any state</t>
  </si>
  <si>
    <t>1. Click Reset demo data</t>
  </si>
  <si>
    <t>"Demo data reset"; seed data and idempotency keys cleared</t>
  </si>
  <si>
    <t>State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</si>
</sst>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8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name val="Calibri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Calibri"/>
      <scheme val="minor"/>
    </font>
    <font>
      <b/>
      <sz val="11"/>
      <color theme="1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45818E"/>
        <bgColor rgb="FF45818E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/>
    <xf numFmtId="0" fontId="4" fillId="5" borderId="5" xfId="0" applyFont="1" applyFill="1" applyBorder="1"/>
    <xf numFmtId="0" fontId="4" fillId="3" borderId="5" xfId="0" applyFont="1" applyFill="1" applyBorder="1"/>
    <xf numFmtId="0" fontId="4" fillId="0" borderId="5" xfId="0" applyFont="1" applyBorder="1" applyAlignment="1">
      <alignment horizontal="right"/>
    </xf>
    <xf numFmtId="164" fontId="4" fillId="5" borderId="5" xfId="0" applyNumberFormat="1" applyFont="1" applyFill="1" applyBorder="1"/>
    <xf numFmtId="0" fontId="3" fillId="0" borderId="0" xfId="0" applyFont="1"/>
    <xf numFmtId="0" fontId="4" fillId="0" borderId="0" xfId="0" applyFont="1"/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5" fillId="7" borderId="12" xfId="0" applyFont="1" applyFill="1" applyBorder="1"/>
    <xf numFmtId="0" fontId="6" fillId="7" borderId="12" xfId="0" applyFont="1" applyFill="1" applyBorder="1" applyAlignment="1">
      <alignment wrapText="1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3" fillId="6" borderId="6" xfId="0" applyFont="1" applyFill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0" fontId="3" fillId="6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"/>
  <sheetViews>
    <sheetView workbookViewId="0">
      <selection activeCell="C4" sqref="C4"/>
    </sheetView>
  </sheetViews>
  <sheetFormatPr defaultColWidth="14.44140625" defaultRowHeight="15" customHeight="1" x14ac:dyDescent="0.3"/>
  <cols>
    <col min="1" max="1" width="22.109375" customWidth="1"/>
    <col min="2" max="2" width="29.88671875" customWidth="1"/>
    <col min="3" max="3" width="32" customWidth="1"/>
    <col min="4" max="4" width="24" customWidth="1"/>
    <col min="5" max="5" width="32" customWidth="1"/>
    <col min="6" max="6" width="22" customWidth="1"/>
    <col min="7" max="7" width="35" customWidth="1"/>
    <col min="8" max="8" width="25" customWidth="1"/>
    <col min="9" max="9" width="35" customWidth="1"/>
    <col min="10" max="10" width="13.6640625" customWidth="1"/>
    <col min="11" max="11" width="17.109375" customWidth="1"/>
    <col min="12" max="12" width="12" customWidth="1"/>
    <col min="13" max="13" width="14" customWidth="1"/>
    <col min="14" max="14" width="32" customWidth="1"/>
    <col min="15" max="15" width="25.88671875" customWidth="1"/>
    <col min="16" max="16" width="39.109375" customWidth="1"/>
    <col min="17" max="17" width="24.33203125" customWidth="1"/>
    <col min="18" max="26" width="8.6640625" customWidth="1"/>
  </cols>
  <sheetData>
    <row r="1" spans="1:17" ht="14.25" customHeight="1" x14ac:dyDescent="0.3">
      <c r="A1" s="23" t="s">
        <v>0</v>
      </c>
      <c r="B1" s="24"/>
      <c r="G1" s="27" t="s">
        <v>1</v>
      </c>
      <c r="H1" s="28"/>
      <c r="I1" s="28"/>
      <c r="J1" s="28"/>
      <c r="K1" s="27" t="s">
        <v>2</v>
      </c>
      <c r="L1" s="28"/>
      <c r="M1" s="28"/>
      <c r="N1" s="28"/>
    </row>
    <row r="2" spans="1:17" ht="14.25" customHeight="1" x14ac:dyDescent="0.3">
      <c r="A2" s="25"/>
      <c r="B2" s="26"/>
      <c r="G2" s="1" t="s">
        <v>3</v>
      </c>
      <c r="H2" s="2" t="s">
        <v>4</v>
      </c>
      <c r="I2" s="1" t="s">
        <v>5</v>
      </c>
      <c r="J2" s="2" t="s">
        <v>4</v>
      </c>
      <c r="K2" s="1" t="s">
        <v>3</v>
      </c>
      <c r="L2" s="2" t="s">
        <v>4</v>
      </c>
      <c r="M2" s="1" t="s">
        <v>5</v>
      </c>
      <c r="N2" s="2" t="s">
        <v>4</v>
      </c>
    </row>
    <row r="3" spans="1:17" ht="31.2" customHeight="1" x14ac:dyDescent="0.3">
      <c r="A3" s="3" t="s">
        <v>6</v>
      </c>
      <c r="B3" s="34" t="s">
        <v>8</v>
      </c>
      <c r="G3" s="5" t="s">
        <v>9</v>
      </c>
      <c r="H3" s="6">
        <f>COUNTIF(K11:K20, "High")</f>
        <v>5</v>
      </c>
      <c r="I3" s="5" t="s">
        <v>10</v>
      </c>
      <c r="J3" s="6">
        <f>COUNTIF(J11:J20, "Pass")</f>
        <v>10</v>
      </c>
      <c r="K3" s="5" t="s">
        <v>9</v>
      </c>
      <c r="L3" s="6">
        <f t="shared" ref="L3:L5" si="0">H3</f>
        <v>5</v>
      </c>
      <c r="M3" s="5" t="s">
        <v>10</v>
      </c>
      <c r="N3" s="6">
        <f t="shared" ref="N3:N5" si="1">J3</f>
        <v>10</v>
      </c>
    </row>
    <row r="4" spans="1:17" ht="27" customHeight="1" x14ac:dyDescent="0.3">
      <c r="A4" s="3" t="s">
        <v>11</v>
      </c>
      <c r="B4" s="4" t="s">
        <v>15</v>
      </c>
      <c r="G4" s="5" t="s">
        <v>13</v>
      </c>
      <c r="H4" s="6">
        <f>COUNTIF(K11:K20, "Medium")</f>
        <v>2</v>
      </c>
      <c r="I4" s="5" t="s">
        <v>16</v>
      </c>
      <c r="J4" s="6">
        <f>COUNTIF(J11:J20, "Fail")</f>
        <v>0</v>
      </c>
      <c r="K4" s="5" t="s">
        <v>13</v>
      </c>
      <c r="L4" s="6">
        <f t="shared" si="0"/>
        <v>2</v>
      </c>
      <c r="M4" s="5" t="s">
        <v>16</v>
      </c>
      <c r="N4" s="6">
        <f t="shared" si="1"/>
        <v>0</v>
      </c>
    </row>
    <row r="5" spans="1:17" ht="14.25" customHeight="1" x14ac:dyDescent="0.3">
      <c r="A5" s="3" t="s">
        <v>18</v>
      </c>
      <c r="B5" s="4" t="s">
        <v>19</v>
      </c>
      <c r="G5" s="5" t="s">
        <v>20</v>
      </c>
      <c r="H5" s="6">
        <f>COUNTIF(K11:K20, "Critical")</f>
        <v>2</v>
      </c>
      <c r="I5" s="5" t="s">
        <v>21</v>
      </c>
      <c r="J5" s="6">
        <f>COUNTIF(J11:J20, "Untested")</f>
        <v>0</v>
      </c>
      <c r="K5" s="5" t="s">
        <v>20</v>
      </c>
      <c r="L5" s="6">
        <f t="shared" si="0"/>
        <v>2</v>
      </c>
      <c r="M5" s="5" t="s">
        <v>21</v>
      </c>
      <c r="N5" s="6">
        <f t="shared" si="1"/>
        <v>0</v>
      </c>
    </row>
    <row r="6" spans="1:17" ht="14.25" customHeight="1" x14ac:dyDescent="0.3">
      <c r="A6" s="3" t="s">
        <v>22</v>
      </c>
      <c r="B6" s="7">
        <v>46310</v>
      </c>
    </row>
    <row r="7" spans="1:17" ht="14.25" customHeight="1" x14ac:dyDescent="0.3">
      <c r="A7" s="3" t="s">
        <v>23</v>
      </c>
      <c r="B7" s="7">
        <v>46311</v>
      </c>
    </row>
    <row r="8" spans="1:17" ht="21" customHeight="1" x14ac:dyDescent="0.3">
      <c r="A8" s="29" t="s">
        <v>24</v>
      </c>
      <c r="B8" s="30"/>
      <c r="C8" s="30"/>
      <c r="D8" s="30"/>
      <c r="E8" s="30"/>
      <c r="F8" s="30"/>
      <c r="G8" s="30"/>
      <c r="H8" s="30"/>
      <c r="I8" s="31"/>
      <c r="J8" s="8" t="s">
        <v>25</v>
      </c>
      <c r="K8" s="9" t="s">
        <v>26</v>
      </c>
      <c r="N8" s="32" t="s">
        <v>28</v>
      </c>
      <c r="O8" s="30"/>
      <c r="P8" s="30"/>
      <c r="Q8" s="31"/>
    </row>
    <row r="9" spans="1:17" ht="24.75" customHeight="1" x14ac:dyDescent="0.3">
      <c r="A9" s="11" t="s">
        <v>29</v>
      </c>
      <c r="B9" s="11" t="s">
        <v>30</v>
      </c>
      <c r="C9" s="11" t="s">
        <v>0</v>
      </c>
      <c r="D9" s="11" t="s">
        <v>31</v>
      </c>
      <c r="E9" s="11" t="s">
        <v>32</v>
      </c>
      <c r="F9" s="11" t="s">
        <v>33</v>
      </c>
      <c r="G9" s="11" t="s">
        <v>34</v>
      </c>
      <c r="H9" s="11" t="s">
        <v>35</v>
      </c>
      <c r="I9" s="11" t="s">
        <v>36</v>
      </c>
      <c r="J9" s="11" t="s">
        <v>5</v>
      </c>
      <c r="K9" s="11" t="s">
        <v>37</v>
      </c>
      <c r="L9" s="11" t="s">
        <v>5</v>
      </c>
      <c r="M9" s="11" t="s">
        <v>37</v>
      </c>
      <c r="N9" s="11" t="s">
        <v>32</v>
      </c>
      <c r="O9" s="12" t="str">
        <f t="shared" ref="O9:Q9" si="2">F9</f>
        <v>Test Data</v>
      </c>
      <c r="P9" s="12" t="str">
        <f t="shared" si="2"/>
        <v>Expected Results</v>
      </c>
      <c r="Q9" s="12" t="str">
        <f t="shared" si="2"/>
        <v>Post-Condition</v>
      </c>
    </row>
    <row r="10" spans="1:17" ht="21.75" customHeight="1" x14ac:dyDescent="0.3">
      <c r="A10" s="33" t="s">
        <v>38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15"/>
      <c r="P10" s="15"/>
      <c r="Q10" s="15"/>
    </row>
    <row r="11" spans="1:17" ht="42" customHeight="1" x14ac:dyDescent="0.3">
      <c r="A11" s="16" t="s">
        <v>45</v>
      </c>
      <c r="B11" s="18" t="s">
        <v>50</v>
      </c>
      <c r="C11" s="18" t="s">
        <v>55</v>
      </c>
      <c r="D11" s="18" t="s">
        <v>56</v>
      </c>
      <c r="E11" s="18" t="s">
        <v>58</v>
      </c>
      <c r="F11" s="21" t="s">
        <v>57</v>
      </c>
      <c r="G11" s="18" t="s">
        <v>63</v>
      </c>
      <c r="H11" s="18" t="s">
        <v>64</v>
      </c>
      <c r="I11" s="18" t="str">
        <f t="shared" ref="I11:I20" si="3">G11</f>
        <v>Username, password and Sign In button visible</v>
      </c>
      <c r="J11" s="16" t="str">
        <f t="shared" ref="J11:J20" si="4">IF(G11=I11, "Pass", "Fail")</f>
        <v>Pass</v>
      </c>
      <c r="K11" s="16" t="s">
        <v>65</v>
      </c>
      <c r="L11" s="16" t="str">
        <f t="shared" ref="L11:M11" si="5">J11</f>
        <v>Pass</v>
      </c>
      <c r="M11" s="16" t="str">
        <f t="shared" si="5"/>
        <v>Low</v>
      </c>
      <c r="N11" s="18" t="str">
        <f t="shared" ref="N11:N20" si="6">E11</f>
        <v>1. Open /student/login
2. Observe login form</v>
      </c>
      <c r="O11" s="22" t="s">
        <v>57</v>
      </c>
      <c r="P11" s="22" t="s">
        <v>79</v>
      </c>
      <c r="Q11" s="19" t="s">
        <v>64</v>
      </c>
    </row>
    <row r="12" spans="1:17" ht="42" customHeight="1" x14ac:dyDescent="0.3">
      <c r="A12" s="16" t="s">
        <v>86</v>
      </c>
      <c r="B12" s="18" t="s">
        <v>87</v>
      </c>
      <c r="C12" s="18" t="s">
        <v>89</v>
      </c>
      <c r="D12" s="18" t="s">
        <v>90</v>
      </c>
      <c r="E12" s="18" t="s">
        <v>92</v>
      </c>
      <c r="F12" s="21" t="s">
        <v>94</v>
      </c>
      <c r="G12" s="18" t="s">
        <v>97</v>
      </c>
      <c r="H12" s="18" t="s">
        <v>101</v>
      </c>
      <c r="I12" s="18" t="str">
        <f t="shared" si="3"/>
        <v>Redirected to student Overview</v>
      </c>
      <c r="J12" s="16" t="str">
        <f t="shared" si="4"/>
        <v>Pass</v>
      </c>
      <c r="K12" s="16" t="s">
        <v>20</v>
      </c>
      <c r="L12" s="16" t="str">
        <f t="shared" ref="L12:M12" si="7">J12</f>
        <v>Pass</v>
      </c>
      <c r="M12" s="16" t="str">
        <f t="shared" si="7"/>
        <v>Critical</v>
      </c>
      <c r="N12" s="18" t="str">
        <f t="shared" si="6"/>
        <v>1. Enter credentials
2. Click Sign In
3. Verify dashboard</v>
      </c>
      <c r="O12" s="22" t="s">
        <v>94</v>
      </c>
      <c r="P12" s="22" t="s">
        <v>97</v>
      </c>
      <c r="Q12" s="18" t="s">
        <v>101</v>
      </c>
    </row>
    <row r="13" spans="1:17" ht="42" customHeight="1" x14ac:dyDescent="0.3">
      <c r="A13" s="16" t="s">
        <v>121</v>
      </c>
      <c r="B13" s="18" t="s">
        <v>124</v>
      </c>
      <c r="C13" s="18" t="s">
        <v>126</v>
      </c>
      <c r="D13" s="18" t="s">
        <v>128</v>
      </c>
      <c r="E13" s="18" t="s">
        <v>130</v>
      </c>
      <c r="F13" s="21" t="s">
        <v>132</v>
      </c>
      <c r="G13" s="18" t="s">
        <v>133</v>
      </c>
      <c r="H13" s="18" t="s">
        <v>101</v>
      </c>
      <c r="I13" s="18" t="str">
        <f t="shared" si="3"/>
        <v>Lecturer Overview shows Dr. Sunil Perera and assigned courses</v>
      </c>
      <c r="J13" s="16" t="str">
        <f t="shared" si="4"/>
        <v>Pass</v>
      </c>
      <c r="K13" s="16" t="s">
        <v>9</v>
      </c>
      <c r="L13" s="16" t="str">
        <f t="shared" ref="L13:M13" si="8">J13</f>
        <v>Pass</v>
      </c>
      <c r="M13" s="16" t="str">
        <f t="shared" si="8"/>
        <v>High</v>
      </c>
      <c r="N13" s="18" t="str">
        <f t="shared" si="6"/>
        <v>1. Enter credentials
2. Sign In
3. Verify</v>
      </c>
      <c r="O13" s="22" t="s">
        <v>132</v>
      </c>
      <c r="P13" s="22" t="s">
        <v>146</v>
      </c>
      <c r="Q13" s="18" t="s">
        <v>101</v>
      </c>
    </row>
    <row r="14" spans="1:17" ht="42" customHeight="1" x14ac:dyDescent="0.3">
      <c r="A14" s="16" t="s">
        <v>150</v>
      </c>
      <c r="B14" s="18" t="s">
        <v>152</v>
      </c>
      <c r="C14" s="18" t="s">
        <v>153</v>
      </c>
      <c r="D14" s="18" t="s">
        <v>155</v>
      </c>
      <c r="E14" s="18" t="s">
        <v>130</v>
      </c>
      <c r="F14" s="21" t="s">
        <v>158</v>
      </c>
      <c r="G14" s="18" t="s">
        <v>160</v>
      </c>
      <c r="H14" s="18" t="s">
        <v>101</v>
      </c>
      <c r="I14" s="18" t="str">
        <f t="shared" si="3"/>
        <v>Admin Overview with stats loads</v>
      </c>
      <c r="J14" s="16" t="str">
        <f t="shared" si="4"/>
        <v>Pass</v>
      </c>
      <c r="K14" s="16" t="s">
        <v>9</v>
      </c>
      <c r="L14" s="16" t="str">
        <f t="shared" ref="L14:M14" si="9">J14</f>
        <v>Pass</v>
      </c>
      <c r="M14" s="16" t="str">
        <f t="shared" si="9"/>
        <v>High</v>
      </c>
      <c r="N14" s="18" t="str">
        <f t="shared" si="6"/>
        <v>1. Enter credentials
2. Sign In
3. Verify</v>
      </c>
      <c r="O14" s="22" t="s">
        <v>158</v>
      </c>
      <c r="P14" s="22" t="s">
        <v>160</v>
      </c>
      <c r="Q14" s="18" t="s">
        <v>101</v>
      </c>
    </row>
    <row r="15" spans="1:17" ht="42" customHeight="1" x14ac:dyDescent="0.3">
      <c r="A15" s="16" t="s">
        <v>180</v>
      </c>
      <c r="B15" s="18" t="s">
        <v>182</v>
      </c>
      <c r="C15" s="18" t="s">
        <v>184</v>
      </c>
      <c r="D15" s="18" t="s">
        <v>64</v>
      </c>
      <c r="E15" s="18" t="s">
        <v>187</v>
      </c>
      <c r="F15" s="21" t="s">
        <v>191</v>
      </c>
      <c r="G15" s="18" t="s">
        <v>194</v>
      </c>
      <c r="H15" s="18" t="s">
        <v>196</v>
      </c>
      <c r="I15" s="18" t="str">
        <f t="shared" si="3"/>
        <v>Error "Invalid username or password"; stays on login</v>
      </c>
      <c r="J15" s="16" t="str">
        <f t="shared" si="4"/>
        <v>Pass</v>
      </c>
      <c r="K15" s="16" t="s">
        <v>9</v>
      </c>
      <c r="L15" s="16" t="str">
        <f t="shared" ref="L15:M15" si="10">J15</f>
        <v>Pass</v>
      </c>
      <c r="M15" s="16" t="str">
        <f t="shared" si="10"/>
        <v>High</v>
      </c>
      <c r="N15" s="18" t="str">
        <f t="shared" si="6"/>
        <v>1. Enter valid user + wrong password
2. Sign In</v>
      </c>
      <c r="O15" s="22" t="s">
        <v>191</v>
      </c>
      <c r="P15" s="22" t="s">
        <v>212</v>
      </c>
      <c r="Q15" s="18" t="s">
        <v>196</v>
      </c>
    </row>
    <row r="16" spans="1:17" ht="42" customHeight="1" x14ac:dyDescent="0.3">
      <c r="A16" s="16" t="s">
        <v>218</v>
      </c>
      <c r="B16" s="18" t="s">
        <v>220</v>
      </c>
      <c r="C16" s="18" t="s">
        <v>221</v>
      </c>
      <c r="D16" s="18" t="s">
        <v>64</v>
      </c>
      <c r="E16" s="18" t="s">
        <v>223</v>
      </c>
      <c r="F16" s="21" t="s">
        <v>224</v>
      </c>
      <c r="G16" s="18" t="s">
        <v>226</v>
      </c>
      <c r="H16" s="18" t="s">
        <v>196</v>
      </c>
      <c r="I16" s="18" t="str">
        <f t="shared" si="3"/>
        <v>401 "Invalid username or password"</v>
      </c>
      <c r="J16" s="16" t="str">
        <f t="shared" si="4"/>
        <v>Pass</v>
      </c>
      <c r="K16" s="16" t="s">
        <v>13</v>
      </c>
      <c r="L16" s="16" t="str">
        <f t="shared" ref="L16:M16" si="11">J16</f>
        <v>Pass</v>
      </c>
      <c r="M16" s="16" t="str">
        <f t="shared" si="11"/>
        <v>Medium</v>
      </c>
      <c r="N16" s="18" t="str">
        <f t="shared" si="6"/>
        <v>1. Enter unknown ID
2. Sign In</v>
      </c>
      <c r="O16" s="22" t="s">
        <v>224</v>
      </c>
      <c r="P16" s="22" t="s">
        <v>226</v>
      </c>
      <c r="Q16" s="18" t="s">
        <v>196</v>
      </c>
    </row>
    <row r="17" spans="1:17" ht="42" customHeight="1" x14ac:dyDescent="0.3">
      <c r="A17" s="16" t="s">
        <v>245</v>
      </c>
      <c r="B17" s="18" t="s">
        <v>246</v>
      </c>
      <c r="C17" s="18" t="s">
        <v>247</v>
      </c>
      <c r="D17" s="18" t="s">
        <v>64</v>
      </c>
      <c r="E17" s="18" t="s">
        <v>248</v>
      </c>
      <c r="F17" s="21" t="s">
        <v>57</v>
      </c>
      <c r="G17" s="18" t="s">
        <v>249</v>
      </c>
      <c r="H17" s="18" t="s">
        <v>196</v>
      </c>
      <c r="I17" s="18" t="str">
        <f t="shared" si="3"/>
        <v>Error shown; no login</v>
      </c>
      <c r="J17" s="16" t="str">
        <f t="shared" si="4"/>
        <v>Pass</v>
      </c>
      <c r="K17" s="16" t="s">
        <v>13</v>
      </c>
      <c r="L17" s="16" t="str">
        <f t="shared" ref="L17:M17" si="12">J17</f>
        <v>Pass</v>
      </c>
      <c r="M17" s="16" t="str">
        <f t="shared" si="12"/>
        <v>Medium</v>
      </c>
      <c r="N17" s="18" t="str">
        <f t="shared" si="6"/>
        <v>1. Leave fields empty
2. Sign In</v>
      </c>
      <c r="O17" s="22" t="s">
        <v>57</v>
      </c>
      <c r="P17" s="22" t="s">
        <v>249</v>
      </c>
      <c r="Q17" s="18" t="s">
        <v>196</v>
      </c>
    </row>
    <row r="18" spans="1:17" ht="42" customHeight="1" x14ac:dyDescent="0.3">
      <c r="A18" s="16" t="s">
        <v>262</v>
      </c>
      <c r="B18" s="18" t="s">
        <v>263</v>
      </c>
      <c r="C18" s="18" t="s">
        <v>264</v>
      </c>
      <c r="D18" s="18" t="s">
        <v>56</v>
      </c>
      <c r="E18" s="18" t="s">
        <v>268</v>
      </c>
      <c r="F18" s="21" t="s">
        <v>271</v>
      </c>
      <c r="G18" s="18" t="s">
        <v>274</v>
      </c>
      <c r="H18" s="18" t="s">
        <v>277</v>
      </c>
      <c r="I18" s="18" t="str">
        <f t="shared" si="3"/>
        <v>403 "This is the admin portal - please use the student portal."</v>
      </c>
      <c r="J18" s="16" t="str">
        <f t="shared" si="4"/>
        <v>Pass</v>
      </c>
      <c r="K18" s="16" t="s">
        <v>9</v>
      </c>
      <c r="L18" s="16" t="str">
        <f t="shared" ref="L18:M18" si="13">J18</f>
        <v>Pass</v>
      </c>
      <c r="M18" s="16" t="str">
        <f t="shared" si="13"/>
        <v>High</v>
      </c>
      <c r="N18" s="18" t="str">
        <f t="shared" si="6"/>
        <v>1. POST /api/login with portal="admin" using student credentials</v>
      </c>
      <c r="O18" s="22" t="s">
        <v>284</v>
      </c>
      <c r="P18" s="22" t="s">
        <v>287</v>
      </c>
      <c r="Q18" s="18" t="s">
        <v>277</v>
      </c>
    </row>
    <row r="19" spans="1:17" ht="42" customHeight="1" x14ac:dyDescent="0.3">
      <c r="A19" s="16" t="s">
        <v>291</v>
      </c>
      <c r="B19" s="18" t="s">
        <v>293</v>
      </c>
      <c r="C19" s="18" t="s">
        <v>294</v>
      </c>
      <c r="D19" s="18" t="s">
        <v>295</v>
      </c>
      <c r="E19" s="18" t="s">
        <v>297</v>
      </c>
      <c r="F19" s="21" t="s">
        <v>57</v>
      </c>
      <c r="G19" s="18" t="s">
        <v>300</v>
      </c>
      <c r="H19" s="18" t="s">
        <v>57</v>
      </c>
      <c r="I19" s="18" t="str">
        <f t="shared" si="3"/>
        <v>401 "Please sign in"</v>
      </c>
      <c r="J19" s="16" t="str">
        <f t="shared" si="4"/>
        <v>Pass</v>
      </c>
      <c r="K19" s="16" t="s">
        <v>9</v>
      </c>
      <c r="L19" s="16" t="str">
        <f t="shared" ref="L19:M19" si="14">J19</f>
        <v>Pass</v>
      </c>
      <c r="M19" s="16" t="str">
        <f t="shared" si="14"/>
        <v>High</v>
      </c>
      <c r="N19" s="18" t="str">
        <f t="shared" si="6"/>
        <v>1. GET /api/courses with no token</v>
      </c>
      <c r="O19" s="22" t="s">
        <v>57</v>
      </c>
      <c r="P19" s="22" t="s">
        <v>300</v>
      </c>
      <c r="Q19" s="18" t="s">
        <v>57</v>
      </c>
    </row>
    <row r="20" spans="1:17" ht="42" customHeight="1" x14ac:dyDescent="0.3">
      <c r="A20" s="16" t="s">
        <v>312</v>
      </c>
      <c r="B20" s="18" t="s">
        <v>313</v>
      </c>
      <c r="C20" s="18" t="s">
        <v>314</v>
      </c>
      <c r="D20" s="18" t="s">
        <v>49</v>
      </c>
      <c r="E20" s="18" t="s">
        <v>317</v>
      </c>
      <c r="F20" s="21" t="s">
        <v>319</v>
      </c>
      <c r="G20" s="18" t="s">
        <v>322</v>
      </c>
      <c r="H20" s="18" t="s">
        <v>57</v>
      </c>
      <c r="I20" s="18" t="str">
        <f t="shared" si="3"/>
        <v>403 "Forbidden for your role"</v>
      </c>
      <c r="J20" s="16" t="str">
        <f t="shared" si="4"/>
        <v>Pass</v>
      </c>
      <c r="K20" s="16" t="s">
        <v>20</v>
      </c>
      <c r="L20" s="16" t="str">
        <f t="shared" ref="L20:M20" si="15">J20</f>
        <v>Pass</v>
      </c>
      <c r="M20" s="16" t="str">
        <f t="shared" si="15"/>
        <v>Critical</v>
      </c>
      <c r="N20" s="18" t="str">
        <f t="shared" si="6"/>
        <v>1. GET /api/admin/users with student token</v>
      </c>
      <c r="O20" s="22" t="s">
        <v>319</v>
      </c>
      <c r="P20" s="22" t="s">
        <v>322</v>
      </c>
      <c r="Q20" s="18" t="s">
        <v>57</v>
      </c>
    </row>
    <row r="21" spans="1:17" ht="14.25" customHeight="1" x14ac:dyDescent="0.3"/>
    <row r="22" spans="1:17" ht="14.25" customHeight="1" x14ac:dyDescent="0.3"/>
    <row r="23" spans="1:17" ht="14.25" customHeight="1" x14ac:dyDescent="0.3"/>
    <row r="24" spans="1:17" ht="14.25" customHeight="1" x14ac:dyDescent="0.3"/>
    <row r="25" spans="1:17" ht="14.25" customHeight="1" x14ac:dyDescent="0.3"/>
    <row r="26" spans="1:17" ht="14.25" customHeight="1" x14ac:dyDescent="0.3"/>
    <row r="27" spans="1:17" ht="14.25" customHeight="1" x14ac:dyDescent="0.3"/>
    <row r="28" spans="1:17" ht="14.25" customHeight="1" x14ac:dyDescent="0.3"/>
    <row r="29" spans="1:17" ht="14.25" customHeight="1" x14ac:dyDescent="0.3"/>
    <row r="30" spans="1:17" ht="14.25" customHeight="1" x14ac:dyDescent="0.3"/>
    <row r="31" spans="1:17" ht="14.25" customHeight="1" x14ac:dyDescent="0.3"/>
    <row r="32" spans="1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6">
    <mergeCell ref="A10:N10"/>
    <mergeCell ref="A1:B2"/>
    <mergeCell ref="G1:J1"/>
    <mergeCell ref="K1:N1"/>
    <mergeCell ref="A8:I8"/>
    <mergeCell ref="N8:Q8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99"/>
  <sheetViews>
    <sheetView workbookViewId="0">
      <selection activeCell="C4" sqref="C4"/>
    </sheetView>
  </sheetViews>
  <sheetFormatPr defaultColWidth="14.44140625" defaultRowHeight="15" customHeight="1" x14ac:dyDescent="0.3"/>
  <cols>
    <col min="1" max="1" width="15" customWidth="1"/>
    <col min="2" max="2" width="27.33203125" customWidth="1"/>
    <col min="3" max="3" width="32" customWidth="1"/>
    <col min="4" max="4" width="24" customWidth="1"/>
    <col min="5" max="5" width="32" customWidth="1"/>
    <col min="6" max="6" width="22" customWidth="1"/>
    <col min="7" max="7" width="35" customWidth="1"/>
    <col min="8" max="8" width="25" customWidth="1"/>
    <col min="9" max="9" width="35" customWidth="1"/>
    <col min="10" max="10" width="12" customWidth="1"/>
    <col min="11" max="11" width="14" customWidth="1"/>
    <col min="12" max="12" width="12" customWidth="1"/>
    <col min="13" max="13" width="14" customWidth="1"/>
    <col min="14" max="14" width="32" customWidth="1"/>
    <col min="15" max="15" width="25.44140625" customWidth="1"/>
    <col min="16" max="16" width="26" customWidth="1"/>
    <col min="17" max="17" width="30.33203125" customWidth="1"/>
    <col min="18" max="26" width="8.6640625" customWidth="1"/>
  </cols>
  <sheetData>
    <row r="1" spans="1:17" ht="14.25" customHeight="1" x14ac:dyDescent="0.3">
      <c r="A1" s="23" t="s">
        <v>0</v>
      </c>
      <c r="B1" s="24"/>
      <c r="G1" s="27" t="s">
        <v>1</v>
      </c>
      <c r="H1" s="28"/>
      <c r="I1" s="28"/>
      <c r="J1" s="28"/>
      <c r="K1" s="27" t="s">
        <v>2</v>
      </c>
      <c r="L1" s="28"/>
      <c r="M1" s="28"/>
      <c r="N1" s="28"/>
    </row>
    <row r="2" spans="1:17" ht="14.25" customHeight="1" x14ac:dyDescent="0.3">
      <c r="A2" s="25"/>
      <c r="B2" s="26"/>
      <c r="G2" s="1" t="s">
        <v>3</v>
      </c>
      <c r="H2" s="2" t="s">
        <v>4</v>
      </c>
      <c r="I2" s="1" t="s">
        <v>5</v>
      </c>
      <c r="J2" s="2" t="s">
        <v>4</v>
      </c>
      <c r="K2" s="1" t="s">
        <v>3</v>
      </c>
      <c r="L2" s="2" t="s">
        <v>4</v>
      </c>
      <c r="M2" s="1" t="s">
        <v>5</v>
      </c>
      <c r="N2" s="2" t="s">
        <v>4</v>
      </c>
    </row>
    <row r="3" spans="1:17" ht="27.6" customHeight="1" x14ac:dyDescent="0.3">
      <c r="A3" s="3" t="s">
        <v>6</v>
      </c>
      <c r="B3" s="34" t="s">
        <v>7</v>
      </c>
      <c r="G3" s="5" t="s">
        <v>9</v>
      </c>
      <c r="H3" s="6">
        <f>COUNTIF(K11:K20, "High")</f>
        <v>3</v>
      </c>
      <c r="I3" s="5" t="s">
        <v>10</v>
      </c>
      <c r="J3" s="6">
        <f>COUNTIF(J11:J20, "Pass")</f>
        <v>10</v>
      </c>
      <c r="K3" s="5" t="s">
        <v>9</v>
      </c>
      <c r="L3" s="6">
        <f t="shared" ref="L3:L5" si="0">H3</f>
        <v>3</v>
      </c>
      <c r="M3" s="5" t="s">
        <v>10</v>
      </c>
      <c r="N3" s="6">
        <f t="shared" ref="N3:N5" si="1">J3</f>
        <v>10</v>
      </c>
    </row>
    <row r="4" spans="1:17" ht="27" customHeight="1" x14ac:dyDescent="0.3">
      <c r="A4" s="3" t="s">
        <v>11</v>
      </c>
      <c r="B4" s="34" t="s">
        <v>12</v>
      </c>
      <c r="G4" s="5" t="s">
        <v>13</v>
      </c>
      <c r="H4" s="6">
        <f>COUNTIF(K11:K20, "Medium")</f>
        <v>3</v>
      </c>
      <c r="I4" s="5" t="s">
        <v>16</v>
      </c>
      <c r="J4" s="6">
        <f>COUNTIF(J11:J20, "Fail")</f>
        <v>0</v>
      </c>
      <c r="K4" s="5" t="s">
        <v>13</v>
      </c>
      <c r="L4" s="6">
        <f t="shared" si="0"/>
        <v>3</v>
      </c>
      <c r="M4" s="5" t="s">
        <v>16</v>
      </c>
      <c r="N4" s="6">
        <f t="shared" si="1"/>
        <v>0</v>
      </c>
    </row>
    <row r="5" spans="1:17" ht="14.25" customHeight="1" x14ac:dyDescent="0.3">
      <c r="A5" s="3" t="s">
        <v>18</v>
      </c>
      <c r="B5" s="4" t="s">
        <v>19</v>
      </c>
      <c r="G5" s="5" t="s">
        <v>20</v>
      </c>
      <c r="H5" s="6">
        <f>COUNTIF(K11:K20, "Critical")</f>
        <v>3</v>
      </c>
      <c r="I5" s="5" t="s">
        <v>21</v>
      </c>
      <c r="J5" s="6">
        <f>COUNTIF(J11:J20, "Untested")</f>
        <v>0</v>
      </c>
      <c r="K5" s="5" t="s">
        <v>20</v>
      </c>
      <c r="L5" s="6">
        <f t="shared" si="0"/>
        <v>3</v>
      </c>
      <c r="M5" s="5" t="s">
        <v>21</v>
      </c>
      <c r="N5" s="6">
        <f t="shared" si="1"/>
        <v>0</v>
      </c>
    </row>
    <row r="6" spans="1:17" ht="14.25" customHeight="1" x14ac:dyDescent="0.3">
      <c r="A6" s="3" t="s">
        <v>22</v>
      </c>
      <c r="B6" s="7">
        <v>46310</v>
      </c>
    </row>
    <row r="7" spans="1:17" ht="14.25" customHeight="1" x14ac:dyDescent="0.3">
      <c r="A7" s="3" t="s">
        <v>23</v>
      </c>
      <c r="B7" s="7">
        <v>46311</v>
      </c>
    </row>
    <row r="8" spans="1:17" ht="24.75" customHeight="1" x14ac:dyDescent="0.3">
      <c r="A8" s="29" t="s">
        <v>24</v>
      </c>
      <c r="B8" s="30"/>
      <c r="C8" s="30"/>
      <c r="D8" s="30"/>
      <c r="E8" s="30"/>
      <c r="F8" s="30"/>
      <c r="G8" s="30"/>
      <c r="H8" s="30"/>
      <c r="I8" s="31"/>
      <c r="J8" s="8" t="s">
        <v>25</v>
      </c>
      <c r="K8" s="9" t="s">
        <v>26</v>
      </c>
      <c r="N8" s="32" t="s">
        <v>27</v>
      </c>
      <c r="O8" s="30"/>
      <c r="P8" s="30"/>
      <c r="Q8" s="31"/>
    </row>
    <row r="9" spans="1:17" ht="24.75" customHeight="1" x14ac:dyDescent="0.3">
      <c r="A9" s="10" t="s">
        <v>29</v>
      </c>
      <c r="B9" s="10" t="s">
        <v>30</v>
      </c>
      <c r="C9" s="10" t="s">
        <v>0</v>
      </c>
      <c r="D9" s="10" t="s">
        <v>31</v>
      </c>
      <c r="E9" s="10" t="s">
        <v>32</v>
      </c>
      <c r="F9" s="10" t="s">
        <v>33</v>
      </c>
      <c r="G9" s="10" t="s">
        <v>34</v>
      </c>
      <c r="H9" s="10" t="s">
        <v>35</v>
      </c>
      <c r="I9" s="10" t="s">
        <v>36</v>
      </c>
      <c r="J9" s="10" t="s">
        <v>5</v>
      </c>
      <c r="K9" s="10" t="s">
        <v>37</v>
      </c>
      <c r="L9" s="10" t="s">
        <v>5</v>
      </c>
      <c r="M9" s="10" t="s">
        <v>37</v>
      </c>
      <c r="N9" s="10" t="s">
        <v>32</v>
      </c>
      <c r="O9" s="12" t="str">
        <f t="shared" ref="O9:Q9" si="2">F9</f>
        <v>Test Data</v>
      </c>
      <c r="P9" s="12" t="str">
        <f t="shared" si="2"/>
        <v>Expected Results</v>
      </c>
      <c r="Q9" s="12" t="str">
        <f t="shared" si="2"/>
        <v>Post-Condition</v>
      </c>
    </row>
    <row r="10" spans="1:17" ht="21.75" customHeight="1" x14ac:dyDescent="0.3">
      <c r="A10" s="33" t="s">
        <v>38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15"/>
      <c r="P10" s="15"/>
      <c r="Q10" s="15"/>
    </row>
    <row r="11" spans="1:17" ht="42" customHeight="1" x14ac:dyDescent="0.3">
      <c r="A11" s="17" t="s">
        <v>41</v>
      </c>
      <c r="B11" s="19" t="s">
        <v>43</v>
      </c>
      <c r="C11" s="19" t="s">
        <v>47</v>
      </c>
      <c r="D11" s="19" t="s">
        <v>49</v>
      </c>
      <c r="E11" s="19" t="s">
        <v>52</v>
      </c>
      <c r="F11" s="20" t="s">
        <v>57</v>
      </c>
      <c r="G11" s="19" t="s">
        <v>60</v>
      </c>
      <c r="H11" s="19" t="s">
        <v>57</v>
      </c>
      <c r="I11" s="19" t="str">
        <f t="shared" ref="I11:I20" si="3">G11</f>
        <v>4 courses with code, name, seats, lecturer; CS3101 shows only 2 seats</v>
      </c>
      <c r="J11" s="17" t="str">
        <f t="shared" ref="J11:J20" si="4">IF(G11=I11, "Pass", "Fail")</f>
        <v>Pass</v>
      </c>
      <c r="K11" s="17" t="s">
        <v>9</v>
      </c>
      <c r="L11" s="17" t="str">
        <f t="shared" ref="L11:M11" si="5">J11</f>
        <v>Pass</v>
      </c>
      <c r="M11" s="17" t="str">
        <f t="shared" si="5"/>
        <v>High</v>
      </c>
      <c r="N11" s="19" t="str">
        <f t="shared" ref="N11:N20" si="6">E11</f>
        <v>1. Open Courses tab
2. Observe table rows</v>
      </c>
      <c r="O11" s="22" t="s">
        <v>57</v>
      </c>
      <c r="P11" s="22" t="s">
        <v>67</v>
      </c>
      <c r="Q11" s="19" t="s">
        <v>57</v>
      </c>
    </row>
    <row r="12" spans="1:17" ht="42" customHeight="1" x14ac:dyDescent="0.3">
      <c r="A12" s="16" t="s">
        <v>73</v>
      </c>
      <c r="B12" s="18" t="s">
        <v>75</v>
      </c>
      <c r="C12" s="18" t="s">
        <v>78</v>
      </c>
      <c r="D12" s="18" t="s">
        <v>82</v>
      </c>
      <c r="E12" s="18" t="s">
        <v>84</v>
      </c>
      <c r="F12" s="21" t="s">
        <v>88</v>
      </c>
      <c r="G12" s="18" t="s">
        <v>91</v>
      </c>
      <c r="H12" s="18" t="s">
        <v>93</v>
      </c>
      <c r="I12" s="18" t="str">
        <f t="shared" si="3"/>
        <v>Toast "Registered! Reference REG-XXXXXX"; course listed with ref; enrolled +1</v>
      </c>
      <c r="J12" s="16" t="str">
        <f t="shared" si="4"/>
        <v>Pass</v>
      </c>
      <c r="K12" s="16" t="s">
        <v>20</v>
      </c>
      <c r="L12" s="16" t="str">
        <f t="shared" ref="L12:M12" si="7">J12</f>
        <v>Pass</v>
      </c>
      <c r="M12" s="16" t="str">
        <f t="shared" si="7"/>
        <v>Critical</v>
      </c>
      <c r="N12" s="18" t="str">
        <f t="shared" si="6"/>
        <v>1. Click Register on IT3103
2. Observe toast
3. Check My Registrations</v>
      </c>
      <c r="O12" s="22" t="s">
        <v>88</v>
      </c>
      <c r="P12" s="22" t="s">
        <v>112</v>
      </c>
      <c r="Q12" s="18" t="s">
        <v>93</v>
      </c>
    </row>
    <row r="13" spans="1:17" ht="42" customHeight="1" x14ac:dyDescent="0.3">
      <c r="A13" s="16" t="s">
        <v>114</v>
      </c>
      <c r="B13" s="18" t="s">
        <v>115</v>
      </c>
      <c r="C13" s="18" t="s">
        <v>117</v>
      </c>
      <c r="D13" s="18" t="s">
        <v>119</v>
      </c>
      <c r="E13" s="18" t="s">
        <v>123</v>
      </c>
      <c r="F13" s="21" t="s">
        <v>57</v>
      </c>
      <c r="G13" s="18" t="s">
        <v>129</v>
      </c>
      <c r="H13" s="18" t="s">
        <v>57</v>
      </c>
      <c r="I13" s="18" t="str">
        <f t="shared" si="3"/>
        <v>Format = "REG-" + 6 uppercase hex characters</v>
      </c>
      <c r="J13" s="16" t="str">
        <f t="shared" si="4"/>
        <v>Pass</v>
      </c>
      <c r="K13" s="16" t="s">
        <v>65</v>
      </c>
      <c r="L13" s="16" t="str">
        <f t="shared" ref="L13:M13" si="8">J13</f>
        <v>Pass</v>
      </c>
      <c r="M13" s="16" t="str">
        <f t="shared" si="8"/>
        <v>Low</v>
      </c>
      <c r="N13" s="18" t="str">
        <f t="shared" si="6"/>
        <v>1. Open My Registrations
2. Check reference code</v>
      </c>
      <c r="O13" s="22" t="s">
        <v>57</v>
      </c>
      <c r="P13" s="22" t="s">
        <v>149</v>
      </c>
      <c r="Q13" s="18" t="s">
        <v>57</v>
      </c>
    </row>
    <row r="14" spans="1:17" ht="42" customHeight="1" x14ac:dyDescent="0.3">
      <c r="A14" s="16" t="s">
        <v>154</v>
      </c>
      <c r="B14" s="18" t="s">
        <v>156</v>
      </c>
      <c r="C14" s="18" t="s">
        <v>157</v>
      </c>
      <c r="D14" s="18" t="s">
        <v>159</v>
      </c>
      <c r="E14" s="18" t="s">
        <v>161</v>
      </c>
      <c r="F14" s="21" t="s">
        <v>88</v>
      </c>
      <c r="G14" s="18" t="s">
        <v>163</v>
      </c>
      <c r="H14" s="18" t="s">
        <v>165</v>
      </c>
      <c r="I14" s="18" t="str">
        <f t="shared" si="3"/>
        <v>409 "You are already registered for this course."; seat count unchanged</v>
      </c>
      <c r="J14" s="16" t="str">
        <f t="shared" si="4"/>
        <v>Pass</v>
      </c>
      <c r="K14" s="16" t="s">
        <v>9</v>
      </c>
      <c r="L14" s="16" t="str">
        <f t="shared" ref="L14:M14" si="9">J14</f>
        <v>Pass</v>
      </c>
      <c r="M14" s="16" t="str">
        <f t="shared" si="9"/>
        <v>High</v>
      </c>
      <c r="N14" s="18" t="str">
        <f t="shared" si="6"/>
        <v>1. Click Register on IT3103 again</v>
      </c>
      <c r="O14" s="22" t="s">
        <v>88</v>
      </c>
      <c r="P14" s="22" t="s">
        <v>175</v>
      </c>
      <c r="Q14" s="18" t="s">
        <v>165</v>
      </c>
    </row>
    <row r="15" spans="1:17" ht="42" customHeight="1" x14ac:dyDescent="0.3">
      <c r="A15" s="16" t="s">
        <v>177</v>
      </c>
      <c r="B15" s="18" t="s">
        <v>179</v>
      </c>
      <c r="C15" s="18" t="s">
        <v>181</v>
      </c>
      <c r="D15" s="18" t="s">
        <v>183</v>
      </c>
      <c r="E15" s="18" t="s">
        <v>185</v>
      </c>
      <c r="F15" s="21" t="s">
        <v>186</v>
      </c>
      <c r="G15" s="18" t="s">
        <v>189</v>
      </c>
      <c r="H15" s="18" t="s">
        <v>192</v>
      </c>
      <c r="I15" s="18" t="str">
        <f t="shared" si="3"/>
        <v>409 "This course is full."; available stays 0</v>
      </c>
      <c r="J15" s="16" t="str">
        <f t="shared" si="4"/>
        <v>Pass</v>
      </c>
      <c r="K15" s="16" t="s">
        <v>20</v>
      </c>
      <c r="L15" s="16" t="str">
        <f t="shared" ref="L15:M15" si="10">J15</f>
        <v>Pass</v>
      </c>
      <c r="M15" s="16" t="str">
        <f t="shared" si="10"/>
        <v>Critical</v>
      </c>
      <c r="N15" s="18" t="str">
        <f t="shared" si="6"/>
        <v>1. Register CS3101 with a third student</v>
      </c>
      <c r="O15" s="22" t="s">
        <v>186</v>
      </c>
      <c r="P15" s="22" t="s">
        <v>204</v>
      </c>
      <c r="Q15" s="18" t="s">
        <v>192</v>
      </c>
    </row>
    <row r="16" spans="1:17" ht="42" customHeight="1" x14ac:dyDescent="0.3">
      <c r="A16" s="16" t="s">
        <v>205</v>
      </c>
      <c r="B16" s="18" t="s">
        <v>206</v>
      </c>
      <c r="C16" s="18" t="s">
        <v>207</v>
      </c>
      <c r="D16" s="18" t="s">
        <v>209</v>
      </c>
      <c r="E16" s="18" t="s">
        <v>211</v>
      </c>
      <c r="F16" s="21" t="s">
        <v>57</v>
      </c>
      <c r="G16" s="18" t="s">
        <v>214</v>
      </c>
      <c r="H16" s="18" t="s">
        <v>217</v>
      </c>
      <c r="I16" s="18" t="str">
        <f t="shared" si="3"/>
        <v>Toast "Course dropped; seat released."; entry removed; seat +1</v>
      </c>
      <c r="J16" s="16" t="str">
        <f t="shared" si="4"/>
        <v>Pass</v>
      </c>
      <c r="K16" s="16" t="s">
        <v>20</v>
      </c>
      <c r="L16" s="16" t="str">
        <f t="shared" ref="L16:M16" si="11">J16</f>
        <v>Pass</v>
      </c>
      <c r="M16" s="16" t="str">
        <f t="shared" si="11"/>
        <v>Critical</v>
      </c>
      <c r="N16" s="18" t="str">
        <f t="shared" si="6"/>
        <v>1. Open My Registrations
2. Click drop
3. Verify list and seats</v>
      </c>
      <c r="O16" s="22" t="s">
        <v>57</v>
      </c>
      <c r="P16" s="22" t="s">
        <v>233</v>
      </c>
      <c r="Q16" s="18" t="s">
        <v>217</v>
      </c>
    </row>
    <row r="17" spans="1:17" ht="42" customHeight="1" x14ac:dyDescent="0.3">
      <c r="A17" s="16" t="s">
        <v>234</v>
      </c>
      <c r="B17" s="18" t="s">
        <v>236</v>
      </c>
      <c r="C17" s="18" t="s">
        <v>239</v>
      </c>
      <c r="D17" s="18" t="s">
        <v>49</v>
      </c>
      <c r="E17" s="18" t="s">
        <v>241</v>
      </c>
      <c r="F17" s="21" t="s">
        <v>243</v>
      </c>
      <c r="G17" s="18" t="s">
        <v>244</v>
      </c>
      <c r="H17" s="18" t="s">
        <v>57</v>
      </c>
      <c r="I17" s="18" t="str">
        <f t="shared" si="3"/>
        <v>404 "Registration not found"</v>
      </c>
      <c r="J17" s="16" t="str">
        <f t="shared" si="4"/>
        <v>Pass</v>
      </c>
      <c r="K17" s="16" t="s">
        <v>13</v>
      </c>
      <c r="L17" s="16" t="str">
        <f t="shared" ref="L17:M17" si="12">J17</f>
        <v>Pass</v>
      </c>
      <c r="M17" s="16" t="str">
        <f t="shared" si="12"/>
        <v>Medium</v>
      </c>
      <c r="N17" s="18" t="str">
        <f t="shared" si="6"/>
        <v>1. DELETE /api/registrations/9999 with token</v>
      </c>
      <c r="O17" s="22" t="s">
        <v>243</v>
      </c>
      <c r="P17" s="22" t="s">
        <v>244</v>
      </c>
      <c r="Q17" s="18" t="s">
        <v>57</v>
      </c>
    </row>
    <row r="18" spans="1:17" ht="42" customHeight="1" x14ac:dyDescent="0.3">
      <c r="A18" s="16" t="s">
        <v>253</v>
      </c>
      <c r="B18" s="18" t="s">
        <v>255</v>
      </c>
      <c r="C18" s="18" t="s">
        <v>257</v>
      </c>
      <c r="D18" s="18" t="s">
        <v>49</v>
      </c>
      <c r="E18" s="18" t="s">
        <v>259</v>
      </c>
      <c r="F18" s="21" t="s">
        <v>260</v>
      </c>
      <c r="G18" s="18" t="s">
        <v>261</v>
      </c>
      <c r="H18" s="18" t="s">
        <v>57</v>
      </c>
      <c r="I18" s="18" t="str">
        <f t="shared" si="3"/>
        <v>404 "Course not found"</v>
      </c>
      <c r="J18" s="16" t="str">
        <f t="shared" si="4"/>
        <v>Pass</v>
      </c>
      <c r="K18" s="16" t="s">
        <v>13</v>
      </c>
      <c r="L18" s="16" t="str">
        <f t="shared" ref="L18:M18" si="13">J18</f>
        <v>Pass</v>
      </c>
      <c r="M18" s="16" t="str">
        <f t="shared" si="13"/>
        <v>Medium</v>
      </c>
      <c r="N18" s="18" t="str">
        <f t="shared" si="6"/>
        <v>1. POST /api/registrations with courseCode XX9999</v>
      </c>
      <c r="O18" s="22" t="s">
        <v>260</v>
      </c>
      <c r="P18" s="22" t="s">
        <v>261</v>
      </c>
      <c r="Q18" s="18" t="s">
        <v>57</v>
      </c>
    </row>
    <row r="19" spans="1:17" ht="42" customHeight="1" x14ac:dyDescent="0.3">
      <c r="A19" s="16" t="s">
        <v>272</v>
      </c>
      <c r="B19" s="18" t="s">
        <v>275</v>
      </c>
      <c r="C19" s="18" t="s">
        <v>276</v>
      </c>
      <c r="D19" s="18" t="s">
        <v>278</v>
      </c>
      <c r="E19" s="18" t="s">
        <v>279</v>
      </c>
      <c r="F19" s="21" t="s">
        <v>88</v>
      </c>
      <c r="G19" s="18" t="s">
        <v>280</v>
      </c>
      <c r="H19" s="18" t="s">
        <v>57</v>
      </c>
      <c r="I19" s="18" t="str">
        <f t="shared" si="3"/>
        <v>Row shows ref, student, course, timestamp; filter works</v>
      </c>
      <c r="J19" s="16" t="str">
        <f t="shared" si="4"/>
        <v>Pass</v>
      </c>
      <c r="K19" s="16" t="s">
        <v>13</v>
      </c>
      <c r="L19" s="16" t="str">
        <f t="shared" ref="L19:M19" si="14">J19</f>
        <v>Pass</v>
      </c>
      <c r="M19" s="16" t="str">
        <f t="shared" si="14"/>
        <v>Medium</v>
      </c>
      <c r="N19" s="18" t="str">
        <f t="shared" si="6"/>
        <v>1. Admin → Registrations
2. Filter by course</v>
      </c>
      <c r="O19" s="22" t="s">
        <v>88</v>
      </c>
      <c r="P19" s="22" t="s">
        <v>292</v>
      </c>
      <c r="Q19" s="18" t="s">
        <v>57</v>
      </c>
    </row>
    <row r="20" spans="1:17" ht="42" customHeight="1" x14ac:dyDescent="0.3">
      <c r="A20" s="16" t="s">
        <v>296</v>
      </c>
      <c r="B20" s="18" t="s">
        <v>298</v>
      </c>
      <c r="C20" s="18" t="s">
        <v>299</v>
      </c>
      <c r="D20" s="18" t="s">
        <v>49</v>
      </c>
      <c r="E20" s="18" t="s">
        <v>301</v>
      </c>
      <c r="F20" s="21" t="s">
        <v>57</v>
      </c>
      <c r="G20" s="18" t="s">
        <v>302</v>
      </c>
      <c r="H20" s="18" t="s">
        <v>57</v>
      </c>
      <c r="I20" s="18" t="str">
        <f t="shared" si="3"/>
        <v>400 "Idempotency-Key header required"</v>
      </c>
      <c r="J20" s="16" t="str">
        <f t="shared" si="4"/>
        <v>Pass</v>
      </c>
      <c r="K20" s="16" t="s">
        <v>9</v>
      </c>
      <c r="L20" s="16" t="str">
        <f t="shared" ref="L20:M20" si="15">J20</f>
        <v>Pass</v>
      </c>
      <c r="M20" s="16" t="str">
        <f t="shared" si="15"/>
        <v>High</v>
      </c>
      <c r="N20" s="18" t="str">
        <f t="shared" si="6"/>
        <v>1. POST /api/registrations WITHOUT Idempotency-Key header</v>
      </c>
      <c r="O20" s="22" t="s">
        <v>57</v>
      </c>
      <c r="P20" s="22" t="s">
        <v>311</v>
      </c>
      <c r="Q20" s="18" t="s">
        <v>57</v>
      </c>
    </row>
    <row r="21" spans="1:17" ht="14.25" customHeight="1" x14ac:dyDescent="0.3"/>
    <row r="22" spans="1:17" ht="14.25" customHeight="1" x14ac:dyDescent="0.3"/>
    <row r="23" spans="1:17" ht="14.25" customHeight="1" x14ac:dyDescent="0.3"/>
    <row r="24" spans="1:17" ht="14.25" customHeight="1" x14ac:dyDescent="0.3"/>
    <row r="25" spans="1:17" ht="14.25" customHeight="1" x14ac:dyDescent="0.3"/>
    <row r="26" spans="1:17" ht="14.25" customHeight="1" x14ac:dyDescent="0.3"/>
    <row r="27" spans="1:17" ht="14.25" customHeight="1" x14ac:dyDescent="0.3"/>
    <row r="28" spans="1:17" ht="14.25" customHeight="1" x14ac:dyDescent="0.3"/>
    <row r="29" spans="1:17" ht="14.25" customHeight="1" x14ac:dyDescent="0.3"/>
    <row r="30" spans="1:17" ht="14.25" customHeight="1" x14ac:dyDescent="0.3"/>
    <row r="31" spans="1:17" ht="14.25" customHeight="1" x14ac:dyDescent="0.3"/>
    <row r="32" spans="1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6">
    <mergeCell ref="A10:N10"/>
    <mergeCell ref="A1:B2"/>
    <mergeCell ref="G1:J1"/>
    <mergeCell ref="K1:N1"/>
    <mergeCell ref="A8:I8"/>
    <mergeCell ref="N8:Q8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9"/>
  <sheetViews>
    <sheetView workbookViewId="0">
      <selection activeCell="C5" sqref="C5"/>
    </sheetView>
  </sheetViews>
  <sheetFormatPr defaultColWidth="14.44140625" defaultRowHeight="15" customHeight="1" x14ac:dyDescent="0.3"/>
  <cols>
    <col min="1" max="1" width="18.33203125" customWidth="1"/>
    <col min="2" max="2" width="27.109375" customWidth="1"/>
    <col min="3" max="3" width="32" customWidth="1"/>
    <col min="4" max="4" width="24" customWidth="1"/>
    <col min="5" max="5" width="32" customWidth="1"/>
    <col min="6" max="6" width="22" customWidth="1"/>
    <col min="7" max="7" width="35" customWidth="1"/>
    <col min="8" max="8" width="25" customWidth="1"/>
    <col min="9" max="9" width="35" customWidth="1"/>
    <col min="10" max="10" width="12" customWidth="1"/>
    <col min="11" max="11" width="14" customWidth="1"/>
    <col min="12" max="12" width="12" customWidth="1"/>
    <col min="13" max="13" width="14" customWidth="1"/>
    <col min="14" max="14" width="32" customWidth="1"/>
    <col min="15" max="15" width="23.6640625" customWidth="1"/>
    <col min="16" max="16" width="26.6640625" customWidth="1"/>
    <col min="17" max="17" width="27.88671875" customWidth="1"/>
    <col min="18" max="26" width="8.6640625" customWidth="1"/>
  </cols>
  <sheetData>
    <row r="1" spans="1:17" ht="14.25" customHeight="1" x14ac:dyDescent="0.3">
      <c r="A1" s="23" t="s">
        <v>0</v>
      </c>
      <c r="B1" s="24"/>
      <c r="G1" s="27" t="s">
        <v>1</v>
      </c>
      <c r="H1" s="28"/>
      <c r="I1" s="28"/>
      <c r="J1" s="28"/>
      <c r="K1" s="27" t="s">
        <v>2</v>
      </c>
      <c r="L1" s="28"/>
      <c r="M1" s="28"/>
      <c r="N1" s="28"/>
    </row>
    <row r="2" spans="1:17" ht="14.25" customHeight="1" x14ac:dyDescent="0.3">
      <c r="A2" s="25"/>
      <c r="B2" s="26"/>
      <c r="G2" s="1" t="s">
        <v>3</v>
      </c>
      <c r="H2" s="2" t="s">
        <v>4</v>
      </c>
      <c r="I2" s="1" t="s">
        <v>5</v>
      </c>
      <c r="J2" s="2" t="s">
        <v>4</v>
      </c>
      <c r="K2" s="1" t="s">
        <v>3</v>
      </c>
      <c r="L2" s="2" t="s">
        <v>4</v>
      </c>
      <c r="M2" s="1" t="s">
        <v>5</v>
      </c>
      <c r="N2" s="2" t="s">
        <v>4</v>
      </c>
    </row>
    <row r="3" spans="1:17" ht="30.6" customHeight="1" x14ac:dyDescent="0.3">
      <c r="A3" s="3" t="s">
        <v>6</v>
      </c>
      <c r="B3" s="34" t="s">
        <v>7</v>
      </c>
      <c r="G3" s="5" t="s">
        <v>9</v>
      </c>
      <c r="H3" s="6">
        <f>COUNTIF(K11:K18, "High")</f>
        <v>4</v>
      </c>
      <c r="I3" s="5" t="s">
        <v>10</v>
      </c>
      <c r="J3" s="6">
        <f>COUNTIF(J11:J18, "Pass")</f>
        <v>8</v>
      </c>
      <c r="K3" s="5" t="s">
        <v>9</v>
      </c>
      <c r="L3" s="6">
        <f t="shared" ref="L3:L5" si="0">H3</f>
        <v>4</v>
      </c>
      <c r="M3" s="5" t="s">
        <v>10</v>
      </c>
      <c r="N3" s="6">
        <f t="shared" ref="N3:N5" si="1">J3</f>
        <v>8</v>
      </c>
    </row>
    <row r="4" spans="1:17" ht="45.6" customHeight="1" x14ac:dyDescent="0.3">
      <c r="A4" s="3" t="s">
        <v>11</v>
      </c>
      <c r="B4" s="34" t="s">
        <v>14</v>
      </c>
      <c r="G4" s="5" t="s">
        <v>13</v>
      </c>
      <c r="H4" s="6">
        <f>COUNTIF(K11:K18, "Medium")</f>
        <v>2</v>
      </c>
      <c r="I4" s="5" t="s">
        <v>16</v>
      </c>
      <c r="J4" s="6">
        <f>COUNTIF(J11:J18, "Fail")</f>
        <v>0</v>
      </c>
      <c r="K4" s="5" t="s">
        <v>13</v>
      </c>
      <c r="L4" s="6">
        <f t="shared" si="0"/>
        <v>2</v>
      </c>
      <c r="M4" s="5" t="s">
        <v>16</v>
      </c>
      <c r="N4" s="6">
        <f t="shared" si="1"/>
        <v>0</v>
      </c>
    </row>
    <row r="5" spans="1:17" ht="14.25" customHeight="1" x14ac:dyDescent="0.3">
      <c r="A5" s="3" t="s">
        <v>18</v>
      </c>
      <c r="B5" s="4" t="s">
        <v>19</v>
      </c>
      <c r="G5" s="5" t="s">
        <v>20</v>
      </c>
      <c r="H5" s="6">
        <f>COUNTIF(K11:K18, "Critical")</f>
        <v>1</v>
      </c>
      <c r="I5" s="5" t="s">
        <v>21</v>
      </c>
      <c r="J5" s="6">
        <f>COUNTIF(J11:J18, "Untested")</f>
        <v>0</v>
      </c>
      <c r="K5" s="5" t="s">
        <v>20</v>
      </c>
      <c r="L5" s="6">
        <f t="shared" si="0"/>
        <v>1</v>
      </c>
      <c r="M5" s="5" t="s">
        <v>21</v>
      </c>
      <c r="N5" s="6">
        <f t="shared" si="1"/>
        <v>0</v>
      </c>
    </row>
    <row r="6" spans="1:17" ht="14.25" customHeight="1" x14ac:dyDescent="0.3">
      <c r="A6" s="3" t="s">
        <v>22</v>
      </c>
      <c r="B6" s="7">
        <v>46310</v>
      </c>
    </row>
    <row r="7" spans="1:17" ht="14.25" customHeight="1" x14ac:dyDescent="0.3">
      <c r="A7" s="3" t="s">
        <v>23</v>
      </c>
      <c r="B7" s="7">
        <v>46311</v>
      </c>
    </row>
    <row r="8" spans="1:17" ht="22.5" customHeight="1" x14ac:dyDescent="0.3">
      <c r="A8" s="29" t="s">
        <v>24</v>
      </c>
      <c r="B8" s="30"/>
      <c r="C8" s="30"/>
      <c r="D8" s="30"/>
      <c r="E8" s="30"/>
      <c r="F8" s="30"/>
      <c r="G8" s="30"/>
      <c r="H8" s="30"/>
      <c r="I8" s="31"/>
      <c r="J8" s="8" t="s">
        <v>25</v>
      </c>
      <c r="K8" s="9" t="s">
        <v>26</v>
      </c>
      <c r="N8" s="32" t="s">
        <v>27</v>
      </c>
      <c r="O8" s="30"/>
      <c r="P8" s="30"/>
      <c r="Q8" s="31"/>
    </row>
    <row r="9" spans="1:17" ht="24.75" customHeight="1" x14ac:dyDescent="0.3">
      <c r="A9" s="11" t="s">
        <v>29</v>
      </c>
      <c r="B9" s="11" t="s">
        <v>30</v>
      </c>
      <c r="C9" s="11" t="s">
        <v>0</v>
      </c>
      <c r="D9" s="11" t="s">
        <v>31</v>
      </c>
      <c r="E9" s="11" t="s">
        <v>32</v>
      </c>
      <c r="F9" s="11" t="s">
        <v>33</v>
      </c>
      <c r="G9" s="11" t="s">
        <v>34</v>
      </c>
      <c r="H9" s="11" t="s">
        <v>35</v>
      </c>
      <c r="I9" s="11" t="s">
        <v>36</v>
      </c>
      <c r="J9" s="11" t="s">
        <v>5</v>
      </c>
      <c r="K9" s="11" t="s">
        <v>37</v>
      </c>
      <c r="L9" s="11" t="s">
        <v>5</v>
      </c>
      <c r="M9" s="11" t="s">
        <v>37</v>
      </c>
      <c r="N9" s="11" t="s">
        <v>32</v>
      </c>
      <c r="O9" s="13" t="str">
        <f t="shared" ref="O9:Q9" si="2">F9</f>
        <v>Test Data</v>
      </c>
      <c r="P9" s="13" t="str">
        <f t="shared" si="2"/>
        <v>Expected Results</v>
      </c>
      <c r="Q9" s="13" t="str">
        <f t="shared" si="2"/>
        <v>Post-Condition</v>
      </c>
    </row>
    <row r="10" spans="1:17" ht="21.75" customHeight="1" x14ac:dyDescent="0.3">
      <c r="A10" s="33" t="s">
        <v>38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14"/>
      <c r="P10" s="14"/>
      <c r="Q10" s="14"/>
    </row>
    <row r="11" spans="1:17" ht="42" customHeight="1" x14ac:dyDescent="0.3">
      <c r="A11" s="16" t="s">
        <v>40</v>
      </c>
      <c r="B11" s="18" t="s">
        <v>44</v>
      </c>
      <c r="C11" s="18" t="s">
        <v>48</v>
      </c>
      <c r="D11" s="18" t="s">
        <v>51</v>
      </c>
      <c r="E11" s="18" t="s">
        <v>54</v>
      </c>
      <c r="F11" s="21" t="s">
        <v>57</v>
      </c>
      <c r="G11" s="18" t="s">
        <v>61</v>
      </c>
      <c r="H11" s="18" t="s">
        <v>57</v>
      </c>
      <c r="I11" s="18" t="str">
        <f t="shared" ref="I11:I18" si="3">G11</f>
        <v>Week 1 note, Quiz 1 and Assignment 1 listed with due dates</v>
      </c>
      <c r="J11" s="16" t="str">
        <f t="shared" ref="J11:J18" si="4">IF(G11=I11, "Pass", "Fail")</f>
        <v>Pass</v>
      </c>
      <c r="K11" s="16" t="s">
        <v>9</v>
      </c>
      <c r="L11" s="16" t="str">
        <f t="shared" ref="L11:M11" si="5">J11</f>
        <v>Pass</v>
      </c>
      <c r="M11" s="16" t="str">
        <f t="shared" si="5"/>
        <v>High</v>
      </c>
      <c r="N11" s="18" t="str">
        <f t="shared" ref="N11:N18" si="6">E11</f>
        <v>1. Open My Learning tab</v>
      </c>
      <c r="O11" s="21" t="s">
        <v>57</v>
      </c>
      <c r="P11" s="22" t="s">
        <v>66</v>
      </c>
      <c r="Q11" s="18" t="s">
        <v>57</v>
      </c>
    </row>
    <row r="12" spans="1:17" ht="42" customHeight="1" x14ac:dyDescent="0.3">
      <c r="A12" s="16" t="s">
        <v>68</v>
      </c>
      <c r="B12" s="18" t="s">
        <v>69</v>
      </c>
      <c r="C12" s="18" t="s">
        <v>70</v>
      </c>
      <c r="D12" s="18" t="s">
        <v>71</v>
      </c>
      <c r="E12" s="18" t="s">
        <v>72</v>
      </c>
      <c r="F12" s="21" t="s">
        <v>57</v>
      </c>
      <c r="G12" s="18" t="s">
        <v>74</v>
      </c>
      <c r="H12" s="18" t="s">
        <v>57</v>
      </c>
      <c r="I12" s="18" t="str">
        <f t="shared" si="3"/>
        <v>SE3104 content not visible</v>
      </c>
      <c r="J12" s="16" t="str">
        <f t="shared" si="4"/>
        <v>Pass</v>
      </c>
      <c r="K12" s="16" t="s">
        <v>9</v>
      </c>
      <c r="L12" s="16" t="str">
        <f t="shared" ref="L12:M12" si="7">J12</f>
        <v>Pass</v>
      </c>
      <c r="M12" s="16" t="str">
        <f t="shared" si="7"/>
        <v>High</v>
      </c>
      <c r="N12" s="18" t="str">
        <f t="shared" si="6"/>
        <v>1. Open My Learning
2. Look for "Testing Pyramid" note</v>
      </c>
      <c r="O12" s="21" t="s">
        <v>57</v>
      </c>
      <c r="P12" s="22" t="s">
        <v>74</v>
      </c>
      <c r="Q12" s="18" t="s">
        <v>57</v>
      </c>
    </row>
    <row r="13" spans="1:17" ht="42" customHeight="1" x14ac:dyDescent="0.3">
      <c r="A13" s="16" t="s">
        <v>95</v>
      </c>
      <c r="B13" s="18" t="s">
        <v>96</v>
      </c>
      <c r="C13" s="18" t="s">
        <v>98</v>
      </c>
      <c r="D13" s="18" t="s">
        <v>99</v>
      </c>
      <c r="E13" s="18" t="s">
        <v>100</v>
      </c>
      <c r="F13" s="21" t="s">
        <v>102</v>
      </c>
      <c r="G13" s="18" t="s">
        <v>103</v>
      </c>
      <c r="H13" s="18" t="s">
        <v>104</v>
      </c>
      <c r="I13" s="18" t="str">
        <f t="shared" si="3"/>
        <v>Toast "Assignment submitted successfully. Reference SUB-XXXXXX"; notification created</v>
      </c>
      <c r="J13" s="16" t="str">
        <f t="shared" si="4"/>
        <v>Pass</v>
      </c>
      <c r="K13" s="16" t="s">
        <v>20</v>
      </c>
      <c r="L13" s="16" t="str">
        <f t="shared" ref="L13:M13" si="8">J13</f>
        <v>Pass</v>
      </c>
      <c r="M13" s="16" t="str">
        <f t="shared" si="8"/>
        <v>Critical</v>
      </c>
      <c r="N13" s="18" t="str">
        <f t="shared" si="6"/>
        <v>1. Open Assignment 1
2. Type answer
3. Click Submit</v>
      </c>
      <c r="O13" s="21" t="s">
        <v>102</v>
      </c>
      <c r="P13" s="22" t="s">
        <v>116</v>
      </c>
      <c r="Q13" s="18" t="s">
        <v>104</v>
      </c>
    </row>
    <row r="14" spans="1:17" ht="42" customHeight="1" x14ac:dyDescent="0.3">
      <c r="A14" s="16" t="s">
        <v>118</v>
      </c>
      <c r="B14" s="18" t="s">
        <v>120</v>
      </c>
      <c r="C14" s="18" t="s">
        <v>122</v>
      </c>
      <c r="D14" s="18" t="s">
        <v>125</v>
      </c>
      <c r="E14" s="18" t="s">
        <v>127</v>
      </c>
      <c r="F14" s="21" t="s">
        <v>57</v>
      </c>
      <c r="G14" s="18" t="s">
        <v>131</v>
      </c>
      <c r="H14" s="18" t="s">
        <v>57</v>
      </c>
      <c r="I14" s="18" t="str">
        <f t="shared" si="3"/>
        <v>Toast "Write your answer first"; nothing saved</v>
      </c>
      <c r="J14" s="16" t="str">
        <f t="shared" si="4"/>
        <v>Pass</v>
      </c>
      <c r="K14" s="16" t="s">
        <v>13</v>
      </c>
      <c r="L14" s="16" t="str">
        <f t="shared" ref="L14:M14" si="9">J14</f>
        <v>Pass</v>
      </c>
      <c r="M14" s="16" t="str">
        <f t="shared" si="9"/>
        <v>Medium</v>
      </c>
      <c r="N14" s="18" t="str">
        <f t="shared" si="6"/>
        <v>1. Leave answer empty
2. Click Submit</v>
      </c>
      <c r="O14" s="21" t="s">
        <v>57</v>
      </c>
      <c r="P14" s="22" t="s">
        <v>141</v>
      </c>
      <c r="Q14" s="18" t="s">
        <v>57</v>
      </c>
    </row>
    <row r="15" spans="1:17" ht="42" customHeight="1" x14ac:dyDescent="0.3">
      <c r="A15" s="16" t="s">
        <v>142</v>
      </c>
      <c r="B15" s="18" t="s">
        <v>143</v>
      </c>
      <c r="C15" s="18" t="s">
        <v>144</v>
      </c>
      <c r="D15" s="18" t="s">
        <v>145</v>
      </c>
      <c r="E15" s="18" t="s">
        <v>147</v>
      </c>
      <c r="F15" s="21" t="s">
        <v>57</v>
      </c>
      <c r="G15" s="18" t="s">
        <v>148</v>
      </c>
      <c r="H15" s="18" t="s">
        <v>151</v>
      </c>
      <c r="I15" s="18" t="str">
        <f t="shared" si="3"/>
        <v>409 "You have already submitted this assignment."</v>
      </c>
      <c r="J15" s="16" t="str">
        <f t="shared" si="4"/>
        <v>Pass</v>
      </c>
      <c r="K15" s="16" t="s">
        <v>9</v>
      </c>
      <c r="L15" s="16" t="str">
        <f t="shared" ref="L15:M15" si="10">J15</f>
        <v>Pass</v>
      </c>
      <c r="M15" s="16" t="str">
        <f t="shared" si="10"/>
        <v>High</v>
      </c>
      <c r="N15" s="18" t="str">
        <f t="shared" si="6"/>
        <v>1. Submit the same assignment again</v>
      </c>
      <c r="O15" s="21" t="s">
        <v>57</v>
      </c>
      <c r="P15" s="22" t="s">
        <v>170</v>
      </c>
      <c r="Q15" s="18" t="s">
        <v>151</v>
      </c>
    </row>
    <row r="16" spans="1:17" ht="42" customHeight="1" x14ac:dyDescent="0.3">
      <c r="A16" s="16" t="s">
        <v>171</v>
      </c>
      <c r="B16" s="18" t="s">
        <v>172</v>
      </c>
      <c r="C16" s="18" t="s">
        <v>173</v>
      </c>
      <c r="D16" s="18" t="s">
        <v>174</v>
      </c>
      <c r="E16" s="18" t="s">
        <v>176</v>
      </c>
      <c r="F16" s="21" t="s">
        <v>57</v>
      </c>
      <c r="G16" s="18" t="s">
        <v>178</v>
      </c>
      <c r="H16" s="18" t="s">
        <v>57</v>
      </c>
      <c r="I16" s="18" t="str">
        <f t="shared" si="3"/>
        <v>409 "The deadline has passed."</v>
      </c>
      <c r="J16" s="16" t="str">
        <f t="shared" si="4"/>
        <v>Pass</v>
      </c>
      <c r="K16" s="16" t="s">
        <v>9</v>
      </c>
      <c r="L16" s="16" t="str">
        <f t="shared" ref="L16:M16" si="11">J16</f>
        <v>Pass</v>
      </c>
      <c r="M16" s="16" t="str">
        <f t="shared" si="11"/>
        <v>High</v>
      </c>
      <c r="N16" s="18" t="str">
        <f t="shared" si="6"/>
        <v>1. Attempt submission</v>
      </c>
      <c r="O16" s="21" t="s">
        <v>57</v>
      </c>
      <c r="P16" s="22" t="s">
        <v>178</v>
      </c>
      <c r="Q16" s="18" t="s">
        <v>57</v>
      </c>
    </row>
    <row r="17" spans="1:17" ht="42" customHeight="1" x14ac:dyDescent="0.3">
      <c r="A17" s="16" t="s">
        <v>198</v>
      </c>
      <c r="B17" s="18" t="s">
        <v>199</v>
      </c>
      <c r="C17" s="18" t="s">
        <v>200</v>
      </c>
      <c r="D17" s="18" t="s">
        <v>201</v>
      </c>
      <c r="E17" s="18" t="s">
        <v>202</v>
      </c>
      <c r="F17" s="21" t="s">
        <v>57</v>
      </c>
      <c r="G17" s="18" t="s">
        <v>203</v>
      </c>
      <c r="H17" s="18" t="s">
        <v>57</v>
      </c>
      <c r="I17" s="18" t="str">
        <f t="shared" si="3"/>
        <v>Shows submit confirmation and mark notification; newest first</v>
      </c>
      <c r="J17" s="16" t="str">
        <f t="shared" si="4"/>
        <v>Pass</v>
      </c>
      <c r="K17" s="16" t="s">
        <v>13</v>
      </c>
      <c r="L17" s="16" t="str">
        <f t="shared" ref="L17:M17" si="12">J17</f>
        <v>Pass</v>
      </c>
      <c r="M17" s="16" t="str">
        <f t="shared" si="12"/>
        <v>Medium</v>
      </c>
      <c r="N17" s="18" t="str">
        <f t="shared" si="6"/>
        <v>1. Open Notifications tab
2. Check entries</v>
      </c>
      <c r="O17" s="21" t="s">
        <v>57</v>
      </c>
      <c r="P17" s="22" t="s">
        <v>222</v>
      </c>
      <c r="Q17" s="18" t="s">
        <v>57</v>
      </c>
    </row>
    <row r="18" spans="1:17" ht="42" customHeight="1" x14ac:dyDescent="0.3">
      <c r="A18" s="16" t="s">
        <v>225</v>
      </c>
      <c r="B18" s="18" t="s">
        <v>227</v>
      </c>
      <c r="C18" s="18" t="s">
        <v>228</v>
      </c>
      <c r="D18" s="18" t="s">
        <v>229</v>
      </c>
      <c r="E18" s="18" t="s">
        <v>230</v>
      </c>
      <c r="F18" s="21" t="s">
        <v>57</v>
      </c>
      <c r="G18" s="18" t="s">
        <v>231</v>
      </c>
      <c r="H18" s="18" t="s">
        <v>232</v>
      </c>
      <c r="I18" s="18" t="str">
        <f t="shared" si="3"/>
        <v>Unread flags cleared</v>
      </c>
      <c r="J18" s="16" t="str">
        <f t="shared" si="4"/>
        <v>Pass</v>
      </c>
      <c r="K18" s="16" t="s">
        <v>65</v>
      </c>
      <c r="L18" s="16" t="str">
        <f t="shared" ref="L18:M18" si="13">J18</f>
        <v>Pass</v>
      </c>
      <c r="M18" s="16" t="str">
        <f t="shared" si="13"/>
        <v>Low</v>
      </c>
      <c r="N18" s="18" t="str">
        <f t="shared" si="6"/>
        <v>1. Click mark-as-seen</v>
      </c>
      <c r="O18" s="21" t="s">
        <v>57</v>
      </c>
      <c r="P18" s="22" t="s">
        <v>231</v>
      </c>
      <c r="Q18" s="18" t="s">
        <v>232</v>
      </c>
    </row>
    <row r="19" spans="1:17" ht="14.25" customHeight="1" x14ac:dyDescent="0.3"/>
    <row r="20" spans="1:17" ht="14.25" customHeight="1" x14ac:dyDescent="0.3"/>
    <row r="21" spans="1:17" ht="14.25" customHeight="1" x14ac:dyDescent="0.3"/>
    <row r="22" spans="1:17" ht="14.25" customHeight="1" x14ac:dyDescent="0.3"/>
    <row r="23" spans="1:17" ht="14.25" customHeight="1" x14ac:dyDescent="0.3"/>
    <row r="24" spans="1:17" ht="14.25" customHeight="1" x14ac:dyDescent="0.3"/>
    <row r="25" spans="1:17" ht="14.25" customHeight="1" x14ac:dyDescent="0.3"/>
    <row r="26" spans="1:17" ht="14.25" customHeight="1" x14ac:dyDescent="0.3"/>
    <row r="27" spans="1:17" ht="14.25" customHeight="1" x14ac:dyDescent="0.3"/>
    <row r="28" spans="1:17" ht="14.25" customHeight="1" x14ac:dyDescent="0.3"/>
    <row r="29" spans="1:17" ht="14.25" customHeight="1" x14ac:dyDescent="0.3"/>
    <row r="30" spans="1:17" ht="14.25" customHeight="1" x14ac:dyDescent="0.3"/>
    <row r="31" spans="1:17" ht="14.25" customHeight="1" x14ac:dyDescent="0.3"/>
    <row r="32" spans="1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6">
    <mergeCell ref="A10:N10"/>
    <mergeCell ref="A1:B2"/>
    <mergeCell ref="G1:J1"/>
    <mergeCell ref="K1:N1"/>
    <mergeCell ref="A8:I8"/>
    <mergeCell ref="N8:Q8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99"/>
  <sheetViews>
    <sheetView workbookViewId="0">
      <selection activeCell="C4" sqref="C4"/>
    </sheetView>
  </sheetViews>
  <sheetFormatPr defaultColWidth="14.44140625" defaultRowHeight="15" customHeight="1" x14ac:dyDescent="0.3"/>
  <cols>
    <col min="1" max="1" width="21.109375" customWidth="1"/>
    <col min="2" max="2" width="33.33203125" customWidth="1"/>
    <col min="3" max="3" width="32" customWidth="1"/>
    <col min="4" max="4" width="24" customWidth="1"/>
    <col min="5" max="5" width="32" customWidth="1"/>
    <col min="6" max="6" width="22" customWidth="1"/>
    <col min="7" max="7" width="35" customWidth="1"/>
    <col min="8" max="8" width="25" customWidth="1"/>
    <col min="9" max="9" width="35" customWidth="1"/>
    <col min="10" max="10" width="12" customWidth="1"/>
    <col min="11" max="11" width="14" customWidth="1"/>
    <col min="12" max="12" width="12" customWidth="1"/>
    <col min="13" max="13" width="14" customWidth="1"/>
    <col min="14" max="14" width="32" customWidth="1"/>
    <col min="15" max="15" width="25" customWidth="1"/>
    <col min="16" max="17" width="31.88671875" customWidth="1"/>
    <col min="18" max="26" width="8.6640625" customWidth="1"/>
  </cols>
  <sheetData>
    <row r="1" spans="1:17" ht="14.25" customHeight="1" x14ac:dyDescent="0.3">
      <c r="A1" s="23" t="s">
        <v>0</v>
      </c>
      <c r="B1" s="24"/>
      <c r="G1" s="27" t="s">
        <v>1</v>
      </c>
      <c r="H1" s="28"/>
      <c r="I1" s="28"/>
      <c r="J1" s="28"/>
      <c r="K1" s="27" t="s">
        <v>2</v>
      </c>
      <c r="L1" s="28"/>
      <c r="M1" s="28"/>
      <c r="N1" s="28"/>
    </row>
    <row r="2" spans="1:17" ht="14.25" customHeight="1" x14ac:dyDescent="0.3">
      <c r="A2" s="25"/>
      <c r="B2" s="26"/>
      <c r="G2" s="1" t="s">
        <v>3</v>
      </c>
      <c r="H2" s="2" t="s">
        <v>4</v>
      </c>
      <c r="I2" s="1" t="s">
        <v>5</v>
      </c>
      <c r="J2" s="2" t="s">
        <v>4</v>
      </c>
      <c r="K2" s="1" t="s">
        <v>3</v>
      </c>
      <c r="L2" s="2" t="s">
        <v>4</v>
      </c>
      <c r="M2" s="1" t="s">
        <v>5</v>
      </c>
      <c r="N2" s="2" t="s">
        <v>4</v>
      </c>
    </row>
    <row r="3" spans="1:17" ht="27.6" customHeight="1" x14ac:dyDescent="0.3">
      <c r="A3" s="3" t="s">
        <v>6</v>
      </c>
      <c r="B3" s="34" t="s">
        <v>8</v>
      </c>
      <c r="G3" s="5" t="s">
        <v>9</v>
      </c>
      <c r="H3" s="6">
        <f>COUNTIF(K11:K23, "High")</f>
        <v>6</v>
      </c>
      <c r="I3" s="5" t="s">
        <v>10</v>
      </c>
      <c r="J3" s="6">
        <f>COUNTIF(J11:J23, "Pass")</f>
        <v>13</v>
      </c>
      <c r="K3" s="5" t="s">
        <v>9</v>
      </c>
      <c r="L3" s="6">
        <f t="shared" ref="L3:L5" si="0">H3</f>
        <v>6</v>
      </c>
      <c r="M3" s="5" t="s">
        <v>10</v>
      </c>
      <c r="N3" s="6">
        <f t="shared" ref="N3:N5" si="1">J3</f>
        <v>13</v>
      </c>
    </row>
    <row r="4" spans="1:17" ht="32.4" customHeight="1" x14ac:dyDescent="0.3">
      <c r="A4" s="3" t="s">
        <v>11</v>
      </c>
      <c r="B4" s="34" t="s">
        <v>17</v>
      </c>
      <c r="G4" s="5" t="s">
        <v>13</v>
      </c>
      <c r="H4" s="6">
        <f>COUNTIF(K11:K23, "Medium")</f>
        <v>4</v>
      </c>
      <c r="I4" s="5" t="s">
        <v>16</v>
      </c>
      <c r="J4" s="6">
        <f>COUNTIF(J11:J23, "Fail")</f>
        <v>0</v>
      </c>
      <c r="K4" s="5" t="s">
        <v>13</v>
      </c>
      <c r="L4" s="6">
        <f t="shared" si="0"/>
        <v>4</v>
      </c>
      <c r="M4" s="5" t="s">
        <v>16</v>
      </c>
      <c r="N4" s="6">
        <f t="shared" si="1"/>
        <v>0</v>
      </c>
    </row>
    <row r="5" spans="1:17" ht="14.25" customHeight="1" x14ac:dyDescent="0.3">
      <c r="A5" s="3" t="s">
        <v>18</v>
      </c>
      <c r="B5" s="4" t="s">
        <v>19</v>
      </c>
      <c r="G5" s="5" t="s">
        <v>20</v>
      </c>
      <c r="H5" s="6">
        <f>COUNTIF(K11:K23, "Critical")</f>
        <v>3</v>
      </c>
      <c r="I5" s="5" t="s">
        <v>21</v>
      </c>
      <c r="J5" s="6">
        <f>COUNTIF(J11:J23, "Untested")</f>
        <v>0</v>
      </c>
      <c r="K5" s="5" t="s">
        <v>20</v>
      </c>
      <c r="L5" s="6">
        <f t="shared" si="0"/>
        <v>3</v>
      </c>
      <c r="M5" s="5" t="s">
        <v>21</v>
      </c>
      <c r="N5" s="6">
        <f t="shared" si="1"/>
        <v>0</v>
      </c>
    </row>
    <row r="6" spans="1:17" ht="14.25" customHeight="1" x14ac:dyDescent="0.3">
      <c r="A6" s="3" t="s">
        <v>22</v>
      </c>
      <c r="B6" s="7">
        <v>46310</v>
      </c>
    </row>
    <row r="7" spans="1:17" ht="14.25" customHeight="1" x14ac:dyDescent="0.3">
      <c r="A7" s="3" t="s">
        <v>23</v>
      </c>
      <c r="B7" s="7">
        <v>46311</v>
      </c>
    </row>
    <row r="8" spans="1:17" ht="22.5" customHeight="1" x14ac:dyDescent="0.3">
      <c r="A8" s="29" t="s">
        <v>24</v>
      </c>
      <c r="B8" s="30"/>
      <c r="C8" s="30"/>
      <c r="D8" s="30"/>
      <c r="E8" s="30"/>
      <c r="F8" s="30"/>
      <c r="G8" s="30"/>
      <c r="H8" s="30"/>
      <c r="I8" s="31"/>
      <c r="J8" s="8" t="s">
        <v>25</v>
      </c>
      <c r="K8" s="9" t="s">
        <v>26</v>
      </c>
      <c r="N8" s="32" t="s">
        <v>27</v>
      </c>
      <c r="O8" s="30"/>
      <c r="P8" s="30"/>
      <c r="Q8" s="31"/>
    </row>
    <row r="9" spans="1:17" ht="24.75" customHeight="1" x14ac:dyDescent="0.3">
      <c r="A9" s="11" t="s">
        <v>29</v>
      </c>
      <c r="B9" s="11" t="s">
        <v>30</v>
      </c>
      <c r="C9" s="11" t="s">
        <v>0</v>
      </c>
      <c r="D9" s="11" t="s">
        <v>31</v>
      </c>
      <c r="E9" s="11" t="s">
        <v>32</v>
      </c>
      <c r="F9" s="11" t="s">
        <v>33</v>
      </c>
      <c r="G9" s="11" t="s">
        <v>34</v>
      </c>
      <c r="H9" s="11" t="s">
        <v>35</v>
      </c>
      <c r="I9" s="11" t="s">
        <v>36</v>
      </c>
      <c r="J9" s="11" t="s">
        <v>5</v>
      </c>
      <c r="K9" s="11" t="s">
        <v>37</v>
      </c>
      <c r="L9" s="11" t="s">
        <v>5</v>
      </c>
      <c r="M9" s="11" t="s">
        <v>37</v>
      </c>
      <c r="N9" s="11" t="s">
        <v>32</v>
      </c>
      <c r="O9" s="13" t="str">
        <f t="shared" ref="O9:Q9" si="2">F9</f>
        <v>Test Data</v>
      </c>
      <c r="P9" s="13" t="str">
        <f t="shared" si="2"/>
        <v>Expected Results</v>
      </c>
      <c r="Q9" s="13" t="str">
        <f t="shared" si="2"/>
        <v>Post-Condition</v>
      </c>
    </row>
    <row r="10" spans="1:17" ht="21.75" customHeight="1" x14ac:dyDescent="0.3">
      <c r="A10" s="33" t="s">
        <v>38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14"/>
      <c r="P10" s="14"/>
      <c r="Q10" s="14"/>
    </row>
    <row r="11" spans="1:17" ht="42" customHeight="1" x14ac:dyDescent="0.3">
      <c r="A11" s="16" t="s">
        <v>39</v>
      </c>
      <c r="B11" s="18" t="s">
        <v>42</v>
      </c>
      <c r="C11" s="18" t="s">
        <v>46</v>
      </c>
      <c r="D11" s="18" t="s">
        <v>53</v>
      </c>
      <c r="E11" s="18" t="s">
        <v>59</v>
      </c>
      <c r="F11" s="21" t="s">
        <v>57</v>
      </c>
      <c r="G11" s="18" t="s">
        <v>62</v>
      </c>
      <c r="H11" s="18" t="s">
        <v>57</v>
      </c>
      <c r="I11" s="18" t="str">
        <f t="shared" ref="I11:I23" si="3">G11</f>
        <v>Assigned courses = 2; enrolled students and published items correct</v>
      </c>
      <c r="J11" s="16" t="str">
        <f t="shared" ref="J11:J23" si="4">IF(G11=I11, "Pass", "Fail")</f>
        <v>Pass</v>
      </c>
      <c r="K11" s="16" t="s">
        <v>13</v>
      </c>
      <c r="L11" s="16" t="str">
        <f t="shared" ref="L11:M11" si="5">J11</f>
        <v>Pass</v>
      </c>
      <c r="M11" s="16" t="str">
        <f t="shared" si="5"/>
        <v>Medium</v>
      </c>
      <c r="N11" s="18" t="str">
        <f t="shared" ref="N11:N23" si="6">E11</f>
        <v>1. Open Overview</v>
      </c>
      <c r="O11" s="21" t="s">
        <v>57</v>
      </c>
      <c r="P11" s="18" t="s">
        <v>62</v>
      </c>
      <c r="Q11" s="22" t="s">
        <v>57</v>
      </c>
    </row>
    <row r="12" spans="1:17" ht="42" customHeight="1" x14ac:dyDescent="0.3">
      <c r="A12" s="16" t="s">
        <v>76</v>
      </c>
      <c r="B12" s="18" t="s">
        <v>77</v>
      </c>
      <c r="C12" s="18" t="s">
        <v>80</v>
      </c>
      <c r="D12" s="18" t="s">
        <v>81</v>
      </c>
      <c r="E12" s="18" t="s">
        <v>83</v>
      </c>
      <c r="F12" s="21" t="s">
        <v>57</v>
      </c>
      <c r="G12" s="18" t="s">
        <v>85</v>
      </c>
      <c r="H12" s="18" t="s">
        <v>57</v>
      </c>
      <c r="I12" s="18" t="str">
        <f t="shared" si="3"/>
        <v>IT3103 and SE3104 show enrolled student names</v>
      </c>
      <c r="J12" s="16" t="str">
        <f t="shared" si="4"/>
        <v>Pass</v>
      </c>
      <c r="K12" s="16" t="s">
        <v>9</v>
      </c>
      <c r="L12" s="16" t="str">
        <f t="shared" ref="L12:M12" si="7">J12</f>
        <v>Pass</v>
      </c>
      <c r="M12" s="16" t="str">
        <f t="shared" si="7"/>
        <v>High</v>
      </c>
      <c r="N12" s="18" t="str">
        <f t="shared" si="6"/>
        <v>1. Open My Courses
2. Check student chips</v>
      </c>
      <c r="O12" s="21" t="s">
        <v>57</v>
      </c>
      <c r="P12" s="18" t="s">
        <v>85</v>
      </c>
      <c r="Q12" s="22" t="s">
        <v>57</v>
      </c>
    </row>
    <row r="13" spans="1:17" ht="42" customHeight="1" x14ac:dyDescent="0.3">
      <c r="A13" s="16" t="s">
        <v>105</v>
      </c>
      <c r="B13" s="18" t="s">
        <v>106</v>
      </c>
      <c r="C13" s="18" t="s">
        <v>107</v>
      </c>
      <c r="D13" s="18" t="s">
        <v>108</v>
      </c>
      <c r="E13" s="18" t="s">
        <v>109</v>
      </c>
      <c r="F13" s="21" t="s">
        <v>110</v>
      </c>
      <c r="G13" s="18" t="s">
        <v>111</v>
      </c>
      <c r="H13" s="18" t="s">
        <v>113</v>
      </c>
      <c r="I13" s="18" t="str">
        <f t="shared" si="3"/>
        <v>Toast "Added"; note appears under course content</v>
      </c>
      <c r="J13" s="16" t="str">
        <f t="shared" si="4"/>
        <v>Pass</v>
      </c>
      <c r="K13" s="16" t="s">
        <v>20</v>
      </c>
      <c r="L13" s="16" t="str">
        <f t="shared" ref="L13:M13" si="8">J13</f>
        <v>Pass</v>
      </c>
      <c r="M13" s="16" t="str">
        <f t="shared" si="8"/>
        <v>Critical</v>
      </c>
      <c r="N13" s="18" t="str">
        <f t="shared" si="6"/>
        <v>1. Add Content → type note
2. Fill title + summary
3. Click Add</v>
      </c>
      <c r="O13" s="21" t="s">
        <v>110</v>
      </c>
      <c r="P13" s="18" t="s">
        <v>111</v>
      </c>
      <c r="Q13" s="22" t="s">
        <v>113</v>
      </c>
    </row>
    <row r="14" spans="1:17" ht="42" customHeight="1" x14ac:dyDescent="0.3">
      <c r="A14" s="16" t="s">
        <v>134</v>
      </c>
      <c r="B14" s="18" t="s">
        <v>135</v>
      </c>
      <c r="C14" s="18" t="s">
        <v>136</v>
      </c>
      <c r="D14" s="18" t="s">
        <v>137</v>
      </c>
      <c r="E14" s="18" t="s">
        <v>138</v>
      </c>
      <c r="F14" s="21" t="s">
        <v>57</v>
      </c>
      <c r="G14" s="18" t="s">
        <v>139</v>
      </c>
      <c r="H14" s="18" t="s">
        <v>140</v>
      </c>
      <c r="I14" s="18" t="str">
        <f t="shared" si="3"/>
        <v>400 "A lecture note summary is required"</v>
      </c>
      <c r="J14" s="16" t="str">
        <f t="shared" si="4"/>
        <v>Pass</v>
      </c>
      <c r="K14" s="16" t="s">
        <v>13</v>
      </c>
      <c r="L14" s="16" t="str">
        <f t="shared" ref="L14:M14" si="9">J14</f>
        <v>Pass</v>
      </c>
      <c r="M14" s="16" t="str">
        <f t="shared" si="9"/>
        <v>Medium</v>
      </c>
      <c r="N14" s="18" t="str">
        <f t="shared" si="6"/>
        <v>1. Leave summary empty
2. Click Add</v>
      </c>
      <c r="O14" s="21" t="s">
        <v>57</v>
      </c>
      <c r="P14" s="18" t="s">
        <v>139</v>
      </c>
      <c r="Q14" s="22" t="s">
        <v>140</v>
      </c>
    </row>
    <row r="15" spans="1:17" ht="42" customHeight="1" x14ac:dyDescent="0.3">
      <c r="A15" s="16" t="s">
        <v>162</v>
      </c>
      <c r="B15" s="18" t="s">
        <v>164</v>
      </c>
      <c r="C15" s="18" t="s">
        <v>166</v>
      </c>
      <c r="D15" s="18" t="s">
        <v>137</v>
      </c>
      <c r="E15" s="18" t="s">
        <v>167</v>
      </c>
      <c r="F15" s="21" t="s">
        <v>168</v>
      </c>
      <c r="G15" s="18" t="s">
        <v>169</v>
      </c>
      <c r="H15" s="18" t="s">
        <v>113</v>
      </c>
      <c r="I15" s="18" t="str">
        <f t="shared" si="3"/>
        <v>Toast "Added"; quiz listed with points and time limit</v>
      </c>
      <c r="J15" s="16" t="str">
        <f t="shared" si="4"/>
        <v>Pass</v>
      </c>
      <c r="K15" s="16" t="s">
        <v>9</v>
      </c>
      <c r="L15" s="16" t="str">
        <f t="shared" ref="L15:M15" si="10">J15</f>
        <v>Pass</v>
      </c>
      <c r="M15" s="16" t="str">
        <f t="shared" si="10"/>
        <v>High</v>
      </c>
      <c r="N15" s="18" t="str">
        <f t="shared" si="6"/>
        <v>1. Fill quiz fields
2. Click Add</v>
      </c>
      <c r="O15" s="21" t="s">
        <v>168</v>
      </c>
      <c r="P15" s="18" t="s">
        <v>169</v>
      </c>
      <c r="Q15" s="22" t="s">
        <v>113</v>
      </c>
    </row>
    <row r="16" spans="1:17" ht="42" customHeight="1" x14ac:dyDescent="0.3">
      <c r="A16" s="16" t="s">
        <v>188</v>
      </c>
      <c r="B16" s="18" t="s">
        <v>190</v>
      </c>
      <c r="C16" s="18" t="s">
        <v>193</v>
      </c>
      <c r="D16" s="18" t="s">
        <v>137</v>
      </c>
      <c r="E16" s="18" t="s">
        <v>195</v>
      </c>
      <c r="F16" s="21" t="s">
        <v>57</v>
      </c>
      <c r="G16" s="18" t="s">
        <v>197</v>
      </c>
      <c r="H16" s="18" t="s">
        <v>140</v>
      </c>
      <c r="I16" s="18" t="str">
        <f t="shared" si="3"/>
        <v>400 "Quiz time limit, attempts, passing score and points are required"</v>
      </c>
      <c r="J16" s="16" t="str">
        <f t="shared" si="4"/>
        <v>Pass</v>
      </c>
      <c r="K16" s="16" t="s">
        <v>13</v>
      </c>
      <c r="L16" s="16" t="str">
        <f t="shared" ref="L16:M16" si="11">J16</f>
        <v>Pass</v>
      </c>
      <c r="M16" s="16" t="str">
        <f t="shared" si="11"/>
        <v>Medium</v>
      </c>
      <c r="N16" s="18" t="str">
        <f t="shared" si="6"/>
        <v>1. Clear time limit
2. Click Add</v>
      </c>
      <c r="O16" s="21" t="s">
        <v>57</v>
      </c>
      <c r="P16" s="18" t="s">
        <v>197</v>
      </c>
      <c r="Q16" s="22" t="s">
        <v>140</v>
      </c>
    </row>
    <row r="17" spans="1:17" ht="42" customHeight="1" x14ac:dyDescent="0.3">
      <c r="A17" s="16" t="s">
        <v>208</v>
      </c>
      <c r="B17" s="18" t="s">
        <v>210</v>
      </c>
      <c r="C17" s="18" t="s">
        <v>213</v>
      </c>
      <c r="D17" s="18" t="s">
        <v>137</v>
      </c>
      <c r="E17" s="18" t="s">
        <v>215</v>
      </c>
      <c r="F17" s="21" t="s">
        <v>216</v>
      </c>
      <c r="G17" s="18" t="s">
        <v>219</v>
      </c>
      <c r="H17" s="18" t="s">
        <v>113</v>
      </c>
      <c r="I17" s="18" t="str">
        <f t="shared" si="3"/>
        <v>Toast "Added"; assignment listed with due date</v>
      </c>
      <c r="J17" s="16" t="str">
        <f t="shared" si="4"/>
        <v>Pass</v>
      </c>
      <c r="K17" s="16" t="s">
        <v>20</v>
      </c>
      <c r="L17" s="16" t="str">
        <f t="shared" ref="L17:M17" si="12">J17</f>
        <v>Pass</v>
      </c>
      <c r="M17" s="16" t="str">
        <f t="shared" si="12"/>
        <v>Critical</v>
      </c>
      <c r="N17" s="18" t="str">
        <f t="shared" si="6"/>
        <v>1. Fill instructions, deadline, points, submission type
2. Click Add</v>
      </c>
      <c r="O17" s="21" t="s">
        <v>216</v>
      </c>
      <c r="P17" s="18" t="s">
        <v>219</v>
      </c>
      <c r="Q17" s="22" t="s">
        <v>113</v>
      </c>
    </row>
    <row r="18" spans="1:17" ht="42" customHeight="1" x14ac:dyDescent="0.3">
      <c r="A18" s="16" t="s">
        <v>235</v>
      </c>
      <c r="B18" s="18" t="s">
        <v>237</v>
      </c>
      <c r="C18" s="18" t="s">
        <v>238</v>
      </c>
      <c r="D18" s="18" t="s">
        <v>137</v>
      </c>
      <c r="E18" s="18" t="s">
        <v>240</v>
      </c>
      <c r="F18" s="21" t="s">
        <v>57</v>
      </c>
      <c r="G18" s="18" t="s">
        <v>242</v>
      </c>
      <c r="H18" s="18" t="s">
        <v>140</v>
      </c>
      <c r="I18" s="18" t="str">
        <f t="shared" si="3"/>
        <v>400 "Assignment instructions, deadline, points and submission type are required"</v>
      </c>
      <c r="J18" s="16" t="str">
        <f t="shared" si="4"/>
        <v>Pass</v>
      </c>
      <c r="K18" s="16" t="s">
        <v>13</v>
      </c>
      <c r="L18" s="16" t="str">
        <f t="shared" ref="L18:M18" si="13">J18</f>
        <v>Pass</v>
      </c>
      <c r="M18" s="16" t="str">
        <f t="shared" si="13"/>
        <v>Medium</v>
      </c>
      <c r="N18" s="18" t="str">
        <f t="shared" si="6"/>
        <v>1. Clear deadline
2. Click Add</v>
      </c>
      <c r="O18" s="21" t="s">
        <v>57</v>
      </c>
      <c r="P18" s="18" t="s">
        <v>242</v>
      </c>
      <c r="Q18" s="22" t="s">
        <v>140</v>
      </c>
    </row>
    <row r="19" spans="1:17" ht="42" customHeight="1" x14ac:dyDescent="0.3">
      <c r="A19" s="16" t="s">
        <v>250</v>
      </c>
      <c r="B19" s="18" t="s">
        <v>251</v>
      </c>
      <c r="C19" s="18" t="s">
        <v>252</v>
      </c>
      <c r="D19" s="18" t="s">
        <v>53</v>
      </c>
      <c r="E19" s="18" t="s">
        <v>254</v>
      </c>
      <c r="F19" s="21" t="s">
        <v>256</v>
      </c>
      <c r="G19" s="18" t="s">
        <v>258</v>
      </c>
      <c r="H19" s="18" t="s">
        <v>140</v>
      </c>
      <c r="I19" s="18" t="str">
        <f t="shared" si="3"/>
        <v>403 "That is not your course"</v>
      </c>
      <c r="J19" s="16" t="str">
        <f t="shared" si="4"/>
        <v>Pass</v>
      </c>
      <c r="K19" s="16" t="s">
        <v>9</v>
      </c>
      <c r="L19" s="16" t="str">
        <f t="shared" ref="L19:M19" si="14">J19</f>
        <v>Pass</v>
      </c>
      <c r="M19" s="16" t="str">
        <f t="shared" si="14"/>
        <v>High</v>
      </c>
      <c r="N19" s="18" t="str">
        <f t="shared" si="6"/>
        <v>1. POST /api/content with courseCode IT3182</v>
      </c>
      <c r="O19" s="21" t="s">
        <v>256</v>
      </c>
      <c r="P19" s="18" t="s">
        <v>258</v>
      </c>
      <c r="Q19" s="22" t="s">
        <v>140</v>
      </c>
    </row>
    <row r="20" spans="1:17" ht="42" customHeight="1" x14ac:dyDescent="0.3">
      <c r="A20" s="16" t="s">
        <v>265</v>
      </c>
      <c r="B20" s="18" t="s">
        <v>266</v>
      </c>
      <c r="C20" s="18" t="s">
        <v>267</v>
      </c>
      <c r="D20" s="18" t="s">
        <v>269</v>
      </c>
      <c r="E20" s="18" t="s">
        <v>270</v>
      </c>
      <c r="F20" s="21" t="s">
        <v>57</v>
      </c>
      <c r="G20" s="18" t="s">
        <v>273</v>
      </c>
      <c r="H20" s="18" t="s">
        <v>57</v>
      </c>
      <c r="I20" s="18" t="str">
        <f t="shared" si="3"/>
        <v>Marking table lists student, answer text and SUB ref</v>
      </c>
      <c r="J20" s="16" t="str">
        <f t="shared" si="4"/>
        <v>Pass</v>
      </c>
      <c r="K20" s="16" t="s">
        <v>9</v>
      </c>
      <c r="L20" s="16" t="str">
        <f t="shared" ref="L20:M20" si="15">J20</f>
        <v>Pass</v>
      </c>
      <c r="M20" s="16" t="str">
        <f t="shared" si="15"/>
        <v>High</v>
      </c>
      <c r="N20" s="18" t="str">
        <f t="shared" si="6"/>
        <v>1. My Courses → click Mark on assignment</v>
      </c>
      <c r="O20" s="21" t="s">
        <v>57</v>
      </c>
      <c r="P20" s="18" t="s">
        <v>273</v>
      </c>
      <c r="Q20" s="22" t="s">
        <v>57</v>
      </c>
    </row>
    <row r="21" spans="1:17" ht="42" customHeight="1" x14ac:dyDescent="0.3">
      <c r="A21" s="16" t="s">
        <v>281</v>
      </c>
      <c r="B21" s="18" t="s">
        <v>282</v>
      </c>
      <c r="C21" s="18" t="s">
        <v>283</v>
      </c>
      <c r="D21" s="18" t="s">
        <v>285</v>
      </c>
      <c r="E21" s="18" t="s">
        <v>286</v>
      </c>
      <c r="F21" s="21" t="s">
        <v>288</v>
      </c>
      <c r="G21" s="18" t="s">
        <v>289</v>
      </c>
      <c r="H21" s="18" t="s">
        <v>290</v>
      </c>
      <c r="I21" s="18" t="str">
        <f t="shared" si="3"/>
        <v>Toast "Saved"; student notified "was marked: 85/100."</v>
      </c>
      <c r="J21" s="16" t="str">
        <f t="shared" si="4"/>
        <v>Pass</v>
      </c>
      <c r="K21" s="16" t="s">
        <v>20</v>
      </c>
      <c r="L21" s="16" t="str">
        <f t="shared" ref="L21:M21" si="16">J21</f>
        <v>Pass</v>
      </c>
      <c r="M21" s="16" t="str">
        <f t="shared" si="16"/>
        <v>Critical</v>
      </c>
      <c r="N21" s="18" t="str">
        <f t="shared" si="6"/>
        <v>1. Enter 85 + feedback
2. Click Save</v>
      </c>
      <c r="O21" s="21" t="s">
        <v>288</v>
      </c>
      <c r="P21" s="18" t="s">
        <v>289</v>
      </c>
      <c r="Q21" s="22" t="s">
        <v>290</v>
      </c>
    </row>
    <row r="22" spans="1:17" ht="42" customHeight="1" x14ac:dyDescent="0.3">
      <c r="A22" s="16" t="s">
        <v>303</v>
      </c>
      <c r="B22" s="18" t="s">
        <v>304</v>
      </c>
      <c r="C22" s="18" t="s">
        <v>305</v>
      </c>
      <c r="D22" s="18" t="s">
        <v>306</v>
      </c>
      <c r="E22" s="18" t="s">
        <v>307</v>
      </c>
      <c r="F22" s="21" t="s">
        <v>308</v>
      </c>
      <c r="G22" s="18" t="s">
        <v>309</v>
      </c>
      <c r="H22" s="18" t="s">
        <v>310</v>
      </c>
      <c r="I22" s="18" t="str">
        <f t="shared" si="3"/>
        <v>400 "Grade must be 0–100"</v>
      </c>
      <c r="J22" s="16" t="str">
        <f t="shared" si="4"/>
        <v>Pass</v>
      </c>
      <c r="K22" s="16" t="s">
        <v>9</v>
      </c>
      <c r="L22" s="16" t="str">
        <f t="shared" ref="L22:M22" si="17">J22</f>
        <v>Pass</v>
      </c>
      <c r="M22" s="16" t="str">
        <f t="shared" si="17"/>
        <v>High</v>
      </c>
      <c r="N22" s="18" t="str">
        <f t="shared" si="6"/>
        <v>1. Enter 150
2. Click Save</v>
      </c>
      <c r="O22" s="21" t="s">
        <v>308</v>
      </c>
      <c r="P22" s="18" t="s">
        <v>309</v>
      </c>
      <c r="Q22" s="22" t="s">
        <v>310</v>
      </c>
    </row>
    <row r="23" spans="1:17" ht="42" customHeight="1" x14ac:dyDescent="0.3">
      <c r="A23" s="16" t="s">
        <v>315</v>
      </c>
      <c r="B23" s="18" t="s">
        <v>316</v>
      </c>
      <c r="C23" s="18" t="s">
        <v>318</v>
      </c>
      <c r="D23" s="18" t="s">
        <v>320</v>
      </c>
      <c r="E23" s="18" t="s">
        <v>321</v>
      </c>
      <c r="F23" s="21" t="s">
        <v>57</v>
      </c>
      <c r="G23" s="18" t="s">
        <v>323</v>
      </c>
      <c r="H23" s="18" t="s">
        <v>310</v>
      </c>
      <c r="I23" s="18" t="str">
        <f t="shared" si="3"/>
        <v>403 "Not your course"</v>
      </c>
      <c r="J23" s="16" t="str">
        <f t="shared" si="4"/>
        <v>Pass</v>
      </c>
      <c r="K23" s="16" t="s">
        <v>9</v>
      </c>
      <c r="L23" s="16" t="str">
        <f t="shared" ref="L23:M23" si="18">J23</f>
        <v>Pass</v>
      </c>
      <c r="M23" s="16" t="str">
        <f t="shared" si="18"/>
        <v>High</v>
      </c>
      <c r="N23" s="18" t="str">
        <f t="shared" si="6"/>
        <v>1. As lecturer2, PUT /api/submissions/:id/grade</v>
      </c>
      <c r="O23" s="21" t="s">
        <v>57</v>
      </c>
      <c r="P23" s="18" t="s">
        <v>323</v>
      </c>
      <c r="Q23" s="22" t="s">
        <v>310</v>
      </c>
    </row>
    <row r="24" spans="1:17" ht="14.25" customHeight="1" x14ac:dyDescent="0.3"/>
    <row r="25" spans="1:17" ht="14.25" customHeight="1" x14ac:dyDescent="0.3"/>
    <row r="26" spans="1:17" ht="14.25" customHeight="1" x14ac:dyDescent="0.3"/>
    <row r="27" spans="1:17" ht="14.25" customHeight="1" x14ac:dyDescent="0.3"/>
    <row r="28" spans="1:17" ht="14.25" customHeight="1" x14ac:dyDescent="0.3"/>
    <row r="29" spans="1:17" ht="14.25" customHeight="1" x14ac:dyDescent="0.3"/>
    <row r="30" spans="1:17" ht="14.25" customHeight="1" x14ac:dyDescent="0.3"/>
    <row r="31" spans="1:17" ht="14.25" customHeight="1" x14ac:dyDescent="0.3"/>
    <row r="32" spans="1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6">
    <mergeCell ref="A10:N10"/>
    <mergeCell ref="A1:B2"/>
    <mergeCell ref="G1:J1"/>
    <mergeCell ref="K1:N1"/>
    <mergeCell ref="A8:I8"/>
    <mergeCell ref="N8:Q8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99"/>
  <sheetViews>
    <sheetView topLeftCell="I1" workbookViewId="0">
      <selection activeCell="C5" sqref="C5"/>
    </sheetView>
  </sheetViews>
  <sheetFormatPr defaultColWidth="14.44140625" defaultRowHeight="15" customHeight="1" x14ac:dyDescent="0.3"/>
  <cols>
    <col min="1" max="1" width="20" customWidth="1"/>
    <col min="2" max="2" width="30.6640625" customWidth="1"/>
    <col min="3" max="3" width="32" customWidth="1"/>
    <col min="4" max="4" width="24" customWidth="1"/>
    <col min="5" max="5" width="32" customWidth="1"/>
    <col min="6" max="6" width="22" customWidth="1"/>
    <col min="7" max="7" width="35" customWidth="1"/>
    <col min="8" max="8" width="25" customWidth="1"/>
    <col min="9" max="9" width="35" customWidth="1"/>
    <col min="10" max="10" width="12" customWidth="1"/>
    <col min="11" max="11" width="14" customWidth="1"/>
    <col min="12" max="12" width="12" customWidth="1"/>
    <col min="13" max="13" width="14" customWidth="1"/>
    <col min="14" max="14" width="32" customWidth="1"/>
    <col min="15" max="15" width="28.109375" customWidth="1"/>
    <col min="16" max="16" width="30.109375" customWidth="1"/>
    <col min="17" max="17" width="35" customWidth="1"/>
    <col min="18" max="26" width="8.6640625" customWidth="1"/>
  </cols>
  <sheetData>
    <row r="1" spans="1:17" ht="14.25" customHeight="1" x14ac:dyDescent="0.3">
      <c r="A1" s="23" t="s">
        <v>0</v>
      </c>
      <c r="B1" s="24"/>
      <c r="G1" s="27" t="s">
        <v>1</v>
      </c>
      <c r="H1" s="28"/>
      <c r="I1" s="28"/>
      <c r="J1" s="28"/>
      <c r="K1" s="27" t="s">
        <v>2</v>
      </c>
      <c r="L1" s="28"/>
      <c r="M1" s="28"/>
      <c r="N1" s="28"/>
    </row>
    <row r="2" spans="1:17" ht="14.25" customHeight="1" x14ac:dyDescent="0.3">
      <c r="A2" s="25"/>
      <c r="B2" s="26"/>
      <c r="G2" s="1" t="s">
        <v>3</v>
      </c>
      <c r="H2" s="2" t="s">
        <v>4</v>
      </c>
      <c r="I2" s="1" t="s">
        <v>5</v>
      </c>
      <c r="J2" s="2" t="s">
        <v>4</v>
      </c>
      <c r="K2" s="1" t="s">
        <v>3</v>
      </c>
      <c r="L2" s="2" t="s">
        <v>4</v>
      </c>
      <c r="M2" s="1" t="s">
        <v>5</v>
      </c>
      <c r="N2" s="2" t="s">
        <v>4</v>
      </c>
    </row>
    <row r="3" spans="1:17" ht="34.799999999999997" customHeight="1" x14ac:dyDescent="0.3">
      <c r="A3" s="3" t="s">
        <v>6</v>
      </c>
      <c r="B3" s="34" t="s">
        <v>8</v>
      </c>
      <c r="G3" s="5" t="s">
        <v>9</v>
      </c>
      <c r="H3" s="6">
        <f>COUNTIF(K11:K26, "High")</f>
        <v>7</v>
      </c>
      <c r="I3" s="5" t="s">
        <v>10</v>
      </c>
      <c r="J3" s="6">
        <f>COUNTIF(J11:J26, "Pass")</f>
        <v>16</v>
      </c>
      <c r="K3" s="5" t="s">
        <v>9</v>
      </c>
      <c r="L3" s="6">
        <f t="shared" ref="L3:L5" si="0">H3</f>
        <v>7</v>
      </c>
      <c r="M3" s="5" t="s">
        <v>10</v>
      </c>
      <c r="N3" s="6">
        <f t="shared" ref="N3:N5" si="1">J3</f>
        <v>16</v>
      </c>
    </row>
    <row r="4" spans="1:17" ht="24" customHeight="1" x14ac:dyDescent="0.3">
      <c r="A4" s="3" t="s">
        <v>11</v>
      </c>
      <c r="B4" s="4" t="s">
        <v>324</v>
      </c>
      <c r="G4" s="5" t="s">
        <v>13</v>
      </c>
      <c r="H4" s="6">
        <f>COUNTIF(K11:K26, "Medium")</f>
        <v>5</v>
      </c>
      <c r="I4" s="5" t="s">
        <v>16</v>
      </c>
      <c r="J4" s="6">
        <f>COUNTIF(J11:J26, "Fail")</f>
        <v>0</v>
      </c>
      <c r="K4" s="5" t="s">
        <v>13</v>
      </c>
      <c r="L4" s="6">
        <f t="shared" si="0"/>
        <v>5</v>
      </c>
      <c r="M4" s="5" t="s">
        <v>16</v>
      </c>
      <c r="N4" s="6">
        <f t="shared" si="1"/>
        <v>0</v>
      </c>
    </row>
    <row r="5" spans="1:17" ht="14.25" customHeight="1" x14ac:dyDescent="0.3">
      <c r="A5" s="3" t="s">
        <v>18</v>
      </c>
      <c r="B5" s="4" t="s">
        <v>19</v>
      </c>
      <c r="G5" s="5" t="s">
        <v>20</v>
      </c>
      <c r="H5" s="6">
        <f>COUNTIF(K11:K26, "Critical")</f>
        <v>3</v>
      </c>
      <c r="I5" s="5" t="s">
        <v>21</v>
      </c>
      <c r="J5" s="6">
        <f>COUNTIF(J11:J26, "Untested")</f>
        <v>0</v>
      </c>
      <c r="K5" s="5" t="s">
        <v>20</v>
      </c>
      <c r="L5" s="6">
        <f t="shared" si="0"/>
        <v>3</v>
      </c>
      <c r="M5" s="5" t="s">
        <v>21</v>
      </c>
      <c r="N5" s="6">
        <f t="shared" si="1"/>
        <v>0</v>
      </c>
    </row>
    <row r="6" spans="1:17" ht="14.25" customHeight="1" x14ac:dyDescent="0.3">
      <c r="A6" s="3" t="s">
        <v>22</v>
      </c>
      <c r="B6" s="7">
        <v>46310</v>
      </c>
    </row>
    <row r="7" spans="1:17" ht="14.25" customHeight="1" x14ac:dyDescent="0.3">
      <c r="A7" s="3" t="s">
        <v>23</v>
      </c>
      <c r="B7" s="7">
        <v>46311</v>
      </c>
    </row>
    <row r="8" spans="1:17" ht="24" customHeight="1" x14ac:dyDescent="0.3">
      <c r="A8" s="29" t="s">
        <v>24</v>
      </c>
      <c r="B8" s="30"/>
      <c r="C8" s="30"/>
      <c r="D8" s="30"/>
      <c r="E8" s="30"/>
      <c r="F8" s="30"/>
      <c r="G8" s="30"/>
      <c r="H8" s="30"/>
      <c r="I8" s="31"/>
      <c r="J8" s="8" t="s">
        <v>25</v>
      </c>
      <c r="K8" s="9" t="s">
        <v>26</v>
      </c>
      <c r="N8" s="32" t="s">
        <v>27</v>
      </c>
      <c r="O8" s="30"/>
      <c r="P8" s="30"/>
      <c r="Q8" s="31"/>
    </row>
    <row r="9" spans="1:17" ht="24.75" customHeight="1" x14ac:dyDescent="0.3">
      <c r="A9" s="11" t="s">
        <v>29</v>
      </c>
      <c r="B9" s="11" t="s">
        <v>30</v>
      </c>
      <c r="C9" s="11" t="s">
        <v>0</v>
      </c>
      <c r="D9" s="11" t="s">
        <v>31</v>
      </c>
      <c r="E9" s="11" t="s">
        <v>32</v>
      </c>
      <c r="F9" s="11" t="s">
        <v>33</v>
      </c>
      <c r="G9" s="11" t="s">
        <v>34</v>
      </c>
      <c r="H9" s="11" t="s">
        <v>35</v>
      </c>
      <c r="I9" s="11" t="s">
        <v>36</v>
      </c>
      <c r="J9" s="11" t="s">
        <v>5</v>
      </c>
      <c r="K9" s="11" t="s">
        <v>37</v>
      </c>
      <c r="L9" s="11" t="s">
        <v>5</v>
      </c>
      <c r="M9" s="11" t="s">
        <v>37</v>
      </c>
      <c r="N9" s="11" t="s">
        <v>32</v>
      </c>
      <c r="O9" s="13" t="str">
        <f t="shared" ref="O9:Q9" si="2">F9</f>
        <v>Test Data</v>
      </c>
      <c r="P9" s="13" t="str">
        <f t="shared" si="2"/>
        <v>Expected Results</v>
      </c>
      <c r="Q9" s="13" t="str">
        <f t="shared" si="2"/>
        <v>Post-Condition</v>
      </c>
    </row>
    <row r="10" spans="1:17" ht="21.75" customHeight="1" x14ac:dyDescent="0.3">
      <c r="A10" s="33" t="s">
        <v>38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14"/>
      <c r="P10" s="14"/>
      <c r="Q10" s="14"/>
    </row>
    <row r="11" spans="1:17" ht="42" customHeight="1" x14ac:dyDescent="0.3">
      <c r="A11" s="16" t="s">
        <v>326</v>
      </c>
      <c r="B11" s="18" t="s">
        <v>327</v>
      </c>
      <c r="C11" s="18" t="s">
        <v>328</v>
      </c>
      <c r="D11" s="18" t="s">
        <v>329</v>
      </c>
      <c r="E11" s="18" t="s">
        <v>59</v>
      </c>
      <c r="F11" s="21" t="s">
        <v>57</v>
      </c>
      <c r="G11" s="18" t="s">
        <v>330</v>
      </c>
      <c r="H11" s="18" t="s">
        <v>57</v>
      </c>
      <c r="I11" s="18" t="str">
        <f t="shared" ref="I11:I26" si="3">G11</f>
        <v>Students = 3, Lecturers = 2, Courses = 4; capacity bars render</v>
      </c>
      <c r="J11" s="16" t="str">
        <f t="shared" ref="J11:J26" si="4">IF(G11=I11, "Pass", "Fail")</f>
        <v>Pass</v>
      </c>
      <c r="K11" s="16" t="s">
        <v>65</v>
      </c>
      <c r="L11" s="16" t="str">
        <f t="shared" ref="L11:M11" si="5">J11</f>
        <v>Pass</v>
      </c>
      <c r="M11" s="16" t="str">
        <f t="shared" si="5"/>
        <v>Low</v>
      </c>
      <c r="N11" s="18" t="str">
        <f t="shared" ref="N11:N15" si="6">E11</f>
        <v>1. Open Overview</v>
      </c>
      <c r="O11" s="21" t="s">
        <v>57</v>
      </c>
      <c r="P11" s="18" t="s">
        <v>330</v>
      </c>
      <c r="Q11" s="18" t="s">
        <v>57</v>
      </c>
    </row>
    <row r="12" spans="1:17" ht="42" customHeight="1" x14ac:dyDescent="0.3">
      <c r="A12" s="16" t="s">
        <v>331</v>
      </c>
      <c r="B12" s="18" t="s">
        <v>332</v>
      </c>
      <c r="C12" s="18" t="s">
        <v>333</v>
      </c>
      <c r="D12" s="18" t="s">
        <v>329</v>
      </c>
      <c r="E12" s="18" t="s">
        <v>334</v>
      </c>
      <c r="F12" s="21" t="s">
        <v>335</v>
      </c>
      <c r="G12" s="18" t="s">
        <v>336</v>
      </c>
      <c r="H12" s="18" t="s">
        <v>337</v>
      </c>
      <c r="I12" s="18" t="str">
        <f t="shared" si="3"/>
        <v>Toast "User added"; appears under Students</v>
      </c>
      <c r="J12" s="16" t="str">
        <f t="shared" si="4"/>
        <v>Pass</v>
      </c>
      <c r="K12" s="16" t="s">
        <v>20</v>
      </c>
      <c r="L12" s="16" t="str">
        <f t="shared" ref="L12:M12" si="7">J12</f>
        <v>Pass</v>
      </c>
      <c r="M12" s="16" t="str">
        <f t="shared" si="7"/>
        <v>Critical</v>
      </c>
      <c r="N12" s="18" t="str">
        <f t="shared" si="6"/>
        <v>1. Users → fill all fields
2. Click Add</v>
      </c>
      <c r="O12" s="21" t="s">
        <v>335</v>
      </c>
      <c r="P12" s="18" t="s">
        <v>336</v>
      </c>
      <c r="Q12" s="18" t="s">
        <v>337</v>
      </c>
    </row>
    <row r="13" spans="1:17" ht="42" customHeight="1" x14ac:dyDescent="0.3">
      <c r="A13" s="16" t="s">
        <v>338</v>
      </c>
      <c r="B13" s="18" t="s">
        <v>339</v>
      </c>
      <c r="C13" s="18" t="s">
        <v>340</v>
      </c>
      <c r="D13" s="18" t="s">
        <v>341</v>
      </c>
      <c r="E13" s="18" t="s">
        <v>342</v>
      </c>
      <c r="F13" s="21" t="s">
        <v>57</v>
      </c>
      <c r="G13" s="18" t="s">
        <v>343</v>
      </c>
      <c r="H13" s="18" t="s">
        <v>140</v>
      </c>
      <c r="I13" s="18" t="str">
        <f t="shared" si="3"/>
        <v>400 "username, password, name, email and role are required"</v>
      </c>
      <c r="J13" s="16" t="str">
        <f t="shared" si="4"/>
        <v>Pass</v>
      </c>
      <c r="K13" s="16" t="s">
        <v>13</v>
      </c>
      <c r="L13" s="16" t="str">
        <f t="shared" ref="L13:M13" si="8">J13</f>
        <v>Pass</v>
      </c>
      <c r="M13" s="16" t="str">
        <f t="shared" si="8"/>
        <v>Medium</v>
      </c>
      <c r="N13" s="18" t="str">
        <f t="shared" si="6"/>
        <v>1. Leave username blank
2. Click Add</v>
      </c>
      <c r="O13" s="21" t="s">
        <v>57</v>
      </c>
      <c r="P13" s="18" t="s">
        <v>343</v>
      </c>
      <c r="Q13" s="18" t="s">
        <v>140</v>
      </c>
    </row>
    <row r="14" spans="1:17" ht="42" customHeight="1" x14ac:dyDescent="0.3">
      <c r="A14" s="16" t="s">
        <v>351</v>
      </c>
      <c r="B14" s="18" t="s">
        <v>352</v>
      </c>
      <c r="C14" s="18" t="s">
        <v>353</v>
      </c>
      <c r="D14" s="18" t="s">
        <v>341</v>
      </c>
      <c r="E14" s="18" t="s">
        <v>354</v>
      </c>
      <c r="F14" s="21" t="s">
        <v>355</v>
      </c>
      <c r="G14" s="18" t="s">
        <v>419</v>
      </c>
      <c r="H14" s="18" t="s">
        <v>140</v>
      </c>
      <c r="I14" s="18" t="str">
        <f t="shared" si="3"/>
        <v>400 "Student email must match the username/ID (for example, BIT0018@uni.lk)"</v>
      </c>
      <c r="J14" s="16" t="str">
        <f t="shared" si="4"/>
        <v>Pass</v>
      </c>
      <c r="K14" s="16" t="s">
        <v>9</v>
      </c>
      <c r="L14" s="16" t="str">
        <f t="shared" ref="L14:M14" si="9">J14</f>
        <v>Pass</v>
      </c>
      <c r="M14" s="16" t="str">
        <f t="shared" si="9"/>
        <v>High</v>
      </c>
      <c r="N14" s="18" t="str">
        <f t="shared" si="6"/>
        <v>1. Username BIT0022 with email test@uni.lk
2. Click Add</v>
      </c>
      <c r="O14" s="21" t="s">
        <v>355</v>
      </c>
      <c r="P14" s="18" t="s">
        <v>419</v>
      </c>
      <c r="Q14" s="18" t="s">
        <v>140</v>
      </c>
    </row>
    <row r="15" spans="1:17" ht="42" customHeight="1" x14ac:dyDescent="0.3">
      <c r="A15" s="16" t="s">
        <v>421</v>
      </c>
      <c r="B15" s="18" t="s">
        <v>423</v>
      </c>
      <c r="C15" s="18" t="s">
        <v>424</v>
      </c>
      <c r="D15" s="18" t="s">
        <v>341</v>
      </c>
      <c r="E15" s="18" t="s">
        <v>427</v>
      </c>
      <c r="F15" s="21" t="s">
        <v>429</v>
      </c>
      <c r="G15" s="18" t="s">
        <v>430</v>
      </c>
      <c r="H15" s="18" t="s">
        <v>140</v>
      </c>
      <c r="I15" s="18" t="str">
        <f t="shared" si="3"/>
        <v>400 "Enter a valid email address"</v>
      </c>
      <c r="J15" s="16" t="str">
        <f t="shared" si="4"/>
        <v>Pass</v>
      </c>
      <c r="K15" s="16" t="s">
        <v>13</v>
      </c>
      <c r="L15" s="16" t="str">
        <f t="shared" ref="L15:M15" si="10">J15</f>
        <v>Pass</v>
      </c>
      <c r="M15" s="16" t="str">
        <f t="shared" si="10"/>
        <v>Medium</v>
      </c>
      <c r="N15" s="18" t="str">
        <f t="shared" si="6"/>
        <v>1. Enter email "abc"
2. Click Add</v>
      </c>
      <c r="O15" s="21" t="s">
        <v>429</v>
      </c>
      <c r="P15" s="18" t="s">
        <v>430</v>
      </c>
      <c r="Q15" s="18" t="s">
        <v>140</v>
      </c>
    </row>
    <row r="16" spans="1:17" ht="42" customHeight="1" x14ac:dyDescent="0.3">
      <c r="A16" s="16" t="s">
        <v>432</v>
      </c>
      <c r="B16" s="18" t="s">
        <v>433</v>
      </c>
      <c r="C16" s="18" t="s">
        <v>434</v>
      </c>
      <c r="D16" s="18" t="s">
        <v>435</v>
      </c>
      <c r="E16" s="18" t="s">
        <v>436</v>
      </c>
      <c r="F16" s="21" t="s">
        <v>437</v>
      </c>
      <c r="G16" s="18" t="s">
        <v>438</v>
      </c>
      <c r="H16" s="18" t="s">
        <v>140</v>
      </c>
      <c r="I16" s="18" t="str">
        <f t="shared" si="3"/>
        <v>409 "This username already exists"</v>
      </c>
      <c r="J16" s="16" t="str">
        <f t="shared" si="4"/>
        <v>Pass</v>
      </c>
      <c r="K16" s="16" t="s">
        <v>9</v>
      </c>
      <c r="L16" s="16" t="str">
        <f t="shared" ref="L16:M16" si="11">J16</f>
        <v>Pass</v>
      </c>
      <c r="M16" s="16" t="str">
        <f t="shared" si="11"/>
        <v>High</v>
      </c>
      <c r="N16" s="18" t="s">
        <v>436</v>
      </c>
      <c r="O16" s="21" t="s">
        <v>437</v>
      </c>
      <c r="P16" s="18" t="s">
        <v>438</v>
      </c>
      <c r="Q16" s="18" t="s">
        <v>140</v>
      </c>
    </row>
    <row r="17" spans="1:17" ht="42" customHeight="1" x14ac:dyDescent="0.3">
      <c r="A17" s="16" t="s">
        <v>443</v>
      </c>
      <c r="B17" s="18" t="s">
        <v>444</v>
      </c>
      <c r="C17" s="18" t="s">
        <v>445</v>
      </c>
      <c r="D17" s="18" t="s">
        <v>446</v>
      </c>
      <c r="E17" s="18" t="s">
        <v>447</v>
      </c>
      <c r="F17" s="21" t="s">
        <v>57</v>
      </c>
      <c r="G17" s="18" t="s">
        <v>448</v>
      </c>
      <c r="H17" s="18" t="s">
        <v>140</v>
      </c>
      <c r="I17" s="18" t="str">
        <f t="shared" si="3"/>
        <v>409 "This name already exists" / 409 "This email already exists"</v>
      </c>
      <c r="J17" s="16" t="str">
        <f t="shared" si="4"/>
        <v>Pass</v>
      </c>
      <c r="K17" s="16" t="s">
        <v>9</v>
      </c>
      <c r="L17" s="16" t="str">
        <f t="shared" ref="L17:M17" si="12">J17</f>
        <v>Pass</v>
      </c>
      <c r="M17" s="16" t="str">
        <f t="shared" si="12"/>
        <v>High</v>
      </c>
      <c r="N17" s="18" t="s">
        <v>447</v>
      </c>
      <c r="O17" s="21" t="s">
        <v>57</v>
      </c>
      <c r="P17" s="18" t="s">
        <v>448</v>
      </c>
      <c r="Q17" s="18" t="s">
        <v>140</v>
      </c>
    </row>
    <row r="18" spans="1:17" ht="42" customHeight="1" x14ac:dyDescent="0.3">
      <c r="A18" s="16" t="s">
        <v>456</v>
      </c>
      <c r="B18" s="18" t="s">
        <v>457</v>
      </c>
      <c r="C18" s="18" t="s">
        <v>458</v>
      </c>
      <c r="D18" s="18" t="s">
        <v>459</v>
      </c>
      <c r="E18" s="18" t="s">
        <v>460</v>
      </c>
      <c r="F18" s="21" t="s">
        <v>57</v>
      </c>
      <c r="G18" s="18" t="s">
        <v>461</v>
      </c>
      <c r="H18" s="18" t="s">
        <v>463</v>
      </c>
      <c r="I18" s="18" t="str">
        <f t="shared" si="3"/>
        <v>"User removed"; registrations deleted; seats restored; lecturer unassigned if a lecturer is deleted</v>
      </c>
      <c r="J18" s="16" t="str">
        <f t="shared" si="4"/>
        <v>Pass</v>
      </c>
      <c r="K18" s="16" t="s">
        <v>20</v>
      </c>
      <c r="L18" s="16" t="str">
        <f t="shared" ref="L18:M18" si="13">J18</f>
        <v>Pass</v>
      </c>
      <c r="M18" s="16" t="str">
        <f t="shared" si="13"/>
        <v>Critical</v>
      </c>
      <c r="N18" s="18" t="str">
        <f t="shared" ref="N18:N26" si="14">E18</f>
        <v>1. Delete the student
2. Check course seats and lecturer assignment</v>
      </c>
      <c r="O18" s="21" t="s">
        <v>57</v>
      </c>
      <c r="P18" s="18" t="s">
        <v>461</v>
      </c>
      <c r="Q18" s="18" t="s">
        <v>463</v>
      </c>
    </row>
    <row r="19" spans="1:17" ht="42" customHeight="1" x14ac:dyDescent="0.3">
      <c r="A19" s="16" t="s">
        <v>471</v>
      </c>
      <c r="B19" s="18" t="s">
        <v>473</v>
      </c>
      <c r="C19" s="18" t="s">
        <v>475</v>
      </c>
      <c r="D19" s="18" t="s">
        <v>329</v>
      </c>
      <c r="E19" s="18" t="s">
        <v>477</v>
      </c>
      <c r="F19" s="21" t="s">
        <v>478</v>
      </c>
      <c r="G19" s="18" t="s">
        <v>481</v>
      </c>
      <c r="H19" s="18" t="s">
        <v>482</v>
      </c>
      <c r="I19" s="18" t="str">
        <f t="shared" si="3"/>
        <v>Toast "Course added"; 25 free seats</v>
      </c>
      <c r="J19" s="16" t="str">
        <f t="shared" si="4"/>
        <v>Pass</v>
      </c>
      <c r="K19" s="16" t="s">
        <v>20</v>
      </c>
      <c r="L19" s="16" t="str">
        <f t="shared" ref="L19:M19" si="15">J19</f>
        <v>Pass</v>
      </c>
      <c r="M19" s="16" t="str">
        <f t="shared" si="15"/>
        <v>Critical</v>
      </c>
      <c r="N19" s="18" t="str">
        <f t="shared" si="14"/>
        <v>1. Courses → fill form
2. Click Add</v>
      </c>
      <c r="O19" s="21" t="s">
        <v>478</v>
      </c>
      <c r="P19" s="18" t="s">
        <v>481</v>
      </c>
      <c r="Q19" s="18" t="s">
        <v>482</v>
      </c>
    </row>
    <row r="20" spans="1:17" ht="42" customHeight="1" x14ac:dyDescent="0.3">
      <c r="A20" s="16" t="s">
        <v>488</v>
      </c>
      <c r="B20" s="18" t="s">
        <v>489</v>
      </c>
      <c r="C20" s="18" t="s">
        <v>490</v>
      </c>
      <c r="D20" s="18" t="s">
        <v>491</v>
      </c>
      <c r="E20" s="18" t="s">
        <v>492</v>
      </c>
      <c r="F20" s="21" t="s">
        <v>493</v>
      </c>
      <c r="G20" s="18" t="s">
        <v>494</v>
      </c>
      <c r="H20" s="18" t="s">
        <v>140</v>
      </c>
      <c r="I20" s="18" t="str">
        <f t="shared" si="3"/>
        <v>409 "A course with this name already exists. Use a different module name."</v>
      </c>
      <c r="J20" s="16" t="str">
        <f t="shared" si="4"/>
        <v>Pass</v>
      </c>
      <c r="K20" s="16" t="s">
        <v>9</v>
      </c>
      <c r="L20" s="16" t="str">
        <f t="shared" ref="L20:M20" si="16">J20</f>
        <v>Pass</v>
      </c>
      <c r="M20" s="16" t="str">
        <f t="shared" si="16"/>
        <v>High</v>
      </c>
      <c r="N20" s="18" t="str">
        <f t="shared" si="14"/>
        <v>1. Add course with same name, new code</v>
      </c>
      <c r="O20" s="21" t="s">
        <v>493</v>
      </c>
      <c r="P20" s="18" t="s">
        <v>494</v>
      </c>
      <c r="Q20" s="18" t="s">
        <v>140</v>
      </c>
    </row>
    <row r="21" spans="1:17" ht="42" customHeight="1" x14ac:dyDescent="0.3">
      <c r="A21" s="16" t="s">
        <v>501</v>
      </c>
      <c r="B21" s="18" t="s">
        <v>502</v>
      </c>
      <c r="C21" s="18" t="s">
        <v>503</v>
      </c>
      <c r="D21" s="18" t="s">
        <v>504</v>
      </c>
      <c r="E21" s="18" t="s">
        <v>505</v>
      </c>
      <c r="F21" s="21" t="s">
        <v>506</v>
      </c>
      <c r="G21" s="18" t="s">
        <v>507</v>
      </c>
      <c r="H21" s="18" t="s">
        <v>140</v>
      </c>
      <c r="I21" s="18" t="str">
        <f t="shared" si="3"/>
        <v>400 "code, name and capacity&gt;0 required"</v>
      </c>
      <c r="J21" s="16" t="str">
        <f t="shared" si="4"/>
        <v>Pass</v>
      </c>
      <c r="K21" s="16" t="s">
        <v>13</v>
      </c>
      <c r="L21" s="16" t="str">
        <f t="shared" ref="L21:M21" si="17">J21</f>
        <v>Pass</v>
      </c>
      <c r="M21" s="16" t="str">
        <f t="shared" si="17"/>
        <v>Medium</v>
      </c>
      <c r="N21" s="18" t="str">
        <f t="shared" si="14"/>
        <v>1. Set seats = 0
2. Click Add</v>
      </c>
      <c r="O21" s="21" t="s">
        <v>506</v>
      </c>
      <c r="P21" s="18" t="s">
        <v>507</v>
      </c>
      <c r="Q21" s="18" t="s">
        <v>140</v>
      </c>
    </row>
    <row r="22" spans="1:17" ht="42" customHeight="1" x14ac:dyDescent="0.3">
      <c r="A22" s="16" t="s">
        <v>508</v>
      </c>
      <c r="B22" s="18" t="s">
        <v>509</v>
      </c>
      <c r="C22" s="18" t="s">
        <v>510</v>
      </c>
      <c r="D22" s="18" t="s">
        <v>511</v>
      </c>
      <c r="E22" s="18" t="s">
        <v>512</v>
      </c>
      <c r="F22" s="21" t="s">
        <v>57</v>
      </c>
      <c r="G22" s="18" t="s">
        <v>513</v>
      </c>
      <c r="H22" s="18" t="s">
        <v>514</v>
      </c>
      <c r="I22" s="18" t="str">
        <f t="shared" si="3"/>
        <v>400 "Seat limit cannot be below enrolled students (X)"</v>
      </c>
      <c r="J22" s="16" t="str">
        <f t="shared" si="4"/>
        <v>Pass</v>
      </c>
      <c r="K22" s="16" t="s">
        <v>9</v>
      </c>
      <c r="L22" s="16" t="str">
        <f t="shared" ref="L22:M22" si="18">J22</f>
        <v>Pass</v>
      </c>
      <c r="M22" s="16" t="str">
        <f t="shared" si="18"/>
        <v>High</v>
      </c>
      <c r="N22" s="18" t="str">
        <f t="shared" si="14"/>
        <v>1. Set capacity below enrolled count
2. Save</v>
      </c>
      <c r="O22" s="21" t="s">
        <v>57</v>
      </c>
      <c r="P22" s="18" t="s">
        <v>513</v>
      </c>
      <c r="Q22" s="18" t="s">
        <v>514</v>
      </c>
    </row>
    <row r="23" spans="1:17" ht="42" customHeight="1" x14ac:dyDescent="0.3">
      <c r="A23" s="16" t="s">
        <v>515</v>
      </c>
      <c r="B23" s="18" t="s">
        <v>516</v>
      </c>
      <c r="C23" s="18" t="s">
        <v>517</v>
      </c>
      <c r="D23" s="18" t="s">
        <v>518</v>
      </c>
      <c r="E23" s="18" t="s">
        <v>519</v>
      </c>
      <c r="F23" s="21" t="s">
        <v>57</v>
      </c>
      <c r="G23" s="18" t="s">
        <v>520</v>
      </c>
      <c r="H23" s="18" t="s">
        <v>521</v>
      </c>
      <c r="I23" s="18" t="str">
        <f t="shared" si="3"/>
        <v>Toast "Course updated"; available recalculated</v>
      </c>
      <c r="J23" s="16" t="str">
        <f t="shared" si="4"/>
        <v>Pass</v>
      </c>
      <c r="K23" s="16" t="s">
        <v>9</v>
      </c>
      <c r="L23" s="16" t="str">
        <f t="shared" ref="L23:M23" si="19">J23</f>
        <v>Pass</v>
      </c>
      <c r="M23" s="16" t="str">
        <f t="shared" si="19"/>
        <v>High</v>
      </c>
      <c r="N23" s="18" t="str">
        <f t="shared" si="14"/>
        <v>1. Change capacity and lecturer
2. Save</v>
      </c>
      <c r="O23" s="21" t="s">
        <v>57</v>
      </c>
      <c r="P23" s="18" t="s">
        <v>520</v>
      </c>
      <c r="Q23" s="18" t="s">
        <v>521</v>
      </c>
    </row>
    <row r="24" spans="1:17" ht="42" customHeight="1" x14ac:dyDescent="0.3">
      <c r="A24" s="16" t="s">
        <v>522</v>
      </c>
      <c r="B24" s="18" t="s">
        <v>523</v>
      </c>
      <c r="C24" s="18" t="s">
        <v>524</v>
      </c>
      <c r="D24" s="18" t="s">
        <v>525</v>
      </c>
      <c r="E24" s="18" t="s">
        <v>526</v>
      </c>
      <c r="F24" s="21" t="s">
        <v>57</v>
      </c>
      <c r="G24" s="18" t="s">
        <v>527</v>
      </c>
      <c r="H24" s="18" t="s">
        <v>57</v>
      </c>
      <c r="I24" s="18" t="str">
        <f t="shared" si="3"/>
        <v>Only rows of that course shown</v>
      </c>
      <c r="J24" s="16" t="str">
        <f t="shared" si="4"/>
        <v>Pass</v>
      </c>
      <c r="K24" s="16" t="s">
        <v>13</v>
      </c>
      <c r="L24" s="16" t="str">
        <f t="shared" ref="L24:M24" si="20">J24</f>
        <v>Pass</v>
      </c>
      <c r="M24" s="16" t="str">
        <f t="shared" si="20"/>
        <v>Medium</v>
      </c>
      <c r="N24" s="18" t="str">
        <f t="shared" si="14"/>
        <v>1. Select course in dropdown</v>
      </c>
      <c r="O24" s="21" t="s">
        <v>57</v>
      </c>
      <c r="P24" s="18" t="s">
        <v>527</v>
      </c>
      <c r="Q24" s="18" t="s">
        <v>57</v>
      </c>
    </row>
    <row r="25" spans="1:17" ht="42" customHeight="1" x14ac:dyDescent="0.3">
      <c r="A25" s="16" t="s">
        <v>528</v>
      </c>
      <c r="B25" s="18" t="s">
        <v>529</v>
      </c>
      <c r="C25" s="18" t="s">
        <v>530</v>
      </c>
      <c r="D25" s="18" t="s">
        <v>531</v>
      </c>
      <c r="E25" s="18" t="s">
        <v>532</v>
      </c>
      <c r="F25" s="21" t="s">
        <v>57</v>
      </c>
      <c r="G25" s="18" t="s">
        <v>533</v>
      </c>
      <c r="H25" s="18" t="s">
        <v>57</v>
      </c>
      <c r="I25" s="18" t="str">
        <f t="shared" si="3"/>
        <v>Counters, idempotency store, request log; all courses "✓ consistent"</v>
      </c>
      <c r="J25" s="16" t="str">
        <f t="shared" si="4"/>
        <v>Pass</v>
      </c>
      <c r="K25" s="16" t="s">
        <v>9</v>
      </c>
      <c r="L25" s="16" t="str">
        <f t="shared" ref="L25:M25" si="21">J25</f>
        <v>Pass</v>
      </c>
      <c r="M25" s="16" t="str">
        <f t="shared" si="21"/>
        <v>High</v>
      </c>
      <c r="N25" s="18" t="str">
        <f t="shared" si="14"/>
        <v>1. Open Diagnostics tab</v>
      </c>
      <c r="O25" s="21" t="s">
        <v>57</v>
      </c>
      <c r="P25" s="18" t="s">
        <v>533</v>
      </c>
      <c r="Q25" s="18" t="s">
        <v>57</v>
      </c>
    </row>
    <row r="26" spans="1:17" ht="42" customHeight="1" x14ac:dyDescent="0.3">
      <c r="A26" s="16" t="s">
        <v>534</v>
      </c>
      <c r="B26" s="18" t="s">
        <v>535</v>
      </c>
      <c r="C26" s="18" t="s">
        <v>536</v>
      </c>
      <c r="D26" s="18" t="s">
        <v>537</v>
      </c>
      <c r="E26" s="18" t="s">
        <v>538</v>
      </c>
      <c r="F26" s="21" t="s">
        <v>57</v>
      </c>
      <c r="G26" s="18" t="s">
        <v>539</v>
      </c>
      <c r="H26" s="18" t="s">
        <v>540</v>
      </c>
      <c r="I26" s="18" t="str">
        <f t="shared" si="3"/>
        <v>"Demo data reset"; seed data and idempotency keys cleared</v>
      </c>
      <c r="J26" s="16" t="str">
        <f t="shared" si="4"/>
        <v>Pass</v>
      </c>
      <c r="K26" s="16" t="s">
        <v>13</v>
      </c>
      <c r="L26" s="16" t="str">
        <f t="shared" ref="L26:M26" si="22">J26</f>
        <v>Pass</v>
      </c>
      <c r="M26" s="16" t="str">
        <f t="shared" si="22"/>
        <v>Medium</v>
      </c>
      <c r="N26" s="18" t="str">
        <f t="shared" si="14"/>
        <v>1. Click Reset demo data</v>
      </c>
      <c r="O26" s="21" t="s">
        <v>57</v>
      </c>
      <c r="P26" s="18" t="s">
        <v>539</v>
      </c>
      <c r="Q26" s="18" t="s">
        <v>540</v>
      </c>
    </row>
    <row r="27" spans="1:17" ht="14.25" customHeight="1" x14ac:dyDescent="0.3"/>
    <row r="28" spans="1:17" ht="14.25" customHeight="1" x14ac:dyDescent="0.3"/>
    <row r="29" spans="1:17" ht="14.25" customHeight="1" x14ac:dyDescent="0.3"/>
    <row r="30" spans="1:17" ht="14.25" customHeight="1" x14ac:dyDescent="0.3"/>
    <row r="31" spans="1:17" ht="14.25" customHeight="1" x14ac:dyDescent="0.3"/>
    <row r="32" spans="1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6">
    <mergeCell ref="A10:N10"/>
    <mergeCell ref="A1:B2"/>
    <mergeCell ref="G1:J1"/>
    <mergeCell ref="K1:N1"/>
    <mergeCell ref="A8:I8"/>
    <mergeCell ref="N8:Q8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99"/>
  <sheetViews>
    <sheetView workbookViewId="0">
      <selection activeCell="C5" sqref="C5"/>
    </sheetView>
  </sheetViews>
  <sheetFormatPr defaultColWidth="14.44140625" defaultRowHeight="15" customHeight="1" x14ac:dyDescent="0.3"/>
  <cols>
    <col min="1" max="1" width="20" customWidth="1"/>
    <col min="2" max="2" width="28.88671875" customWidth="1"/>
    <col min="3" max="3" width="32" customWidth="1"/>
    <col min="4" max="4" width="24" customWidth="1"/>
    <col min="5" max="5" width="32" customWidth="1"/>
    <col min="6" max="6" width="22" customWidth="1"/>
    <col min="7" max="7" width="35" customWidth="1"/>
    <col min="8" max="8" width="25" customWidth="1"/>
    <col min="9" max="9" width="35" customWidth="1"/>
    <col min="10" max="10" width="12" customWidth="1"/>
    <col min="11" max="11" width="14" customWidth="1"/>
    <col min="12" max="12" width="12" customWidth="1"/>
    <col min="13" max="13" width="14" customWidth="1"/>
    <col min="14" max="14" width="32" customWidth="1"/>
    <col min="15" max="15" width="23.33203125" customWidth="1"/>
    <col min="16" max="16" width="31.33203125" customWidth="1"/>
    <col min="17" max="17" width="31.88671875" customWidth="1"/>
    <col min="18" max="26" width="8.6640625" customWidth="1"/>
  </cols>
  <sheetData>
    <row r="1" spans="1:17" ht="14.25" customHeight="1" x14ac:dyDescent="0.3">
      <c r="A1" s="23" t="s">
        <v>0</v>
      </c>
      <c r="B1" s="24"/>
      <c r="G1" s="27" t="s">
        <v>1</v>
      </c>
      <c r="H1" s="28"/>
      <c r="I1" s="28"/>
      <c r="J1" s="28"/>
      <c r="K1" s="27" t="s">
        <v>2</v>
      </c>
      <c r="L1" s="28"/>
      <c r="M1" s="28"/>
      <c r="N1" s="28"/>
    </row>
    <row r="2" spans="1:17" ht="14.25" customHeight="1" x14ac:dyDescent="0.3">
      <c r="A2" s="25"/>
      <c r="B2" s="26"/>
      <c r="G2" s="1" t="s">
        <v>3</v>
      </c>
      <c r="H2" s="2" t="s">
        <v>4</v>
      </c>
      <c r="I2" s="1" t="s">
        <v>5</v>
      </c>
      <c r="J2" s="2" t="s">
        <v>4</v>
      </c>
      <c r="K2" s="1" t="s">
        <v>3</v>
      </c>
      <c r="L2" s="2" t="s">
        <v>4</v>
      </c>
      <c r="M2" s="1" t="s">
        <v>5</v>
      </c>
      <c r="N2" s="2" t="s">
        <v>4</v>
      </c>
    </row>
    <row r="3" spans="1:17" ht="36" customHeight="1" x14ac:dyDescent="0.3">
      <c r="A3" s="3" t="s">
        <v>6</v>
      </c>
      <c r="B3" s="34" t="s">
        <v>8</v>
      </c>
      <c r="G3" s="5" t="s">
        <v>9</v>
      </c>
      <c r="H3" s="6">
        <f>COUNTIF(K11:K20, "High")</f>
        <v>3</v>
      </c>
      <c r="I3" s="5" t="s">
        <v>10</v>
      </c>
      <c r="J3" s="6">
        <f>COUNTIF(J11:J20, "Pass")</f>
        <v>10</v>
      </c>
      <c r="K3" s="5" t="s">
        <v>9</v>
      </c>
      <c r="L3" s="6">
        <f t="shared" ref="L3:L5" si="0">H3</f>
        <v>3</v>
      </c>
      <c r="M3" s="5" t="s">
        <v>10</v>
      </c>
      <c r="N3" s="6">
        <f t="shared" ref="N3:N5" si="1">J3</f>
        <v>10</v>
      </c>
    </row>
    <row r="4" spans="1:17" ht="31.2" customHeight="1" x14ac:dyDescent="0.3">
      <c r="A4" s="3" t="s">
        <v>11</v>
      </c>
      <c r="B4" s="34" t="s">
        <v>325</v>
      </c>
      <c r="G4" s="5" t="s">
        <v>13</v>
      </c>
      <c r="H4" s="6">
        <f>COUNTIF(K11:K20, "Medium")</f>
        <v>2</v>
      </c>
      <c r="I4" s="5" t="s">
        <v>16</v>
      </c>
      <c r="J4" s="6">
        <f>COUNTIF(J11:J20, "Fail")</f>
        <v>0</v>
      </c>
      <c r="K4" s="5" t="s">
        <v>13</v>
      </c>
      <c r="L4" s="6">
        <f t="shared" si="0"/>
        <v>2</v>
      </c>
      <c r="M4" s="5" t="s">
        <v>16</v>
      </c>
      <c r="N4" s="6">
        <f t="shared" si="1"/>
        <v>0</v>
      </c>
    </row>
    <row r="5" spans="1:17" ht="14.25" customHeight="1" x14ac:dyDescent="0.3">
      <c r="A5" s="3" t="s">
        <v>18</v>
      </c>
      <c r="B5" s="4" t="s">
        <v>19</v>
      </c>
      <c r="G5" s="5" t="s">
        <v>20</v>
      </c>
      <c r="H5" s="6">
        <f>COUNTIF(K11:K20, "Critical")</f>
        <v>5</v>
      </c>
      <c r="I5" s="5" t="s">
        <v>21</v>
      </c>
      <c r="J5" s="6">
        <f>COUNTIF(J11:J20, "Untested")</f>
        <v>0</v>
      </c>
      <c r="K5" s="5" t="s">
        <v>20</v>
      </c>
      <c r="L5" s="6">
        <f t="shared" si="0"/>
        <v>5</v>
      </c>
      <c r="M5" s="5" t="s">
        <v>21</v>
      </c>
      <c r="N5" s="6">
        <f t="shared" si="1"/>
        <v>0</v>
      </c>
    </row>
    <row r="6" spans="1:17" ht="14.25" customHeight="1" x14ac:dyDescent="0.3">
      <c r="A6" s="3" t="s">
        <v>22</v>
      </c>
      <c r="B6" s="7">
        <v>46310</v>
      </c>
    </row>
    <row r="7" spans="1:17" ht="14.25" customHeight="1" x14ac:dyDescent="0.3">
      <c r="A7" s="3" t="s">
        <v>23</v>
      </c>
      <c r="B7" s="7">
        <v>46311</v>
      </c>
    </row>
    <row r="8" spans="1:17" ht="26.25" customHeight="1" x14ac:dyDescent="0.3">
      <c r="A8" s="29" t="s">
        <v>24</v>
      </c>
      <c r="B8" s="30"/>
      <c r="C8" s="30"/>
      <c r="D8" s="30"/>
      <c r="E8" s="30"/>
      <c r="F8" s="30"/>
      <c r="G8" s="30"/>
      <c r="H8" s="30"/>
      <c r="I8" s="31"/>
      <c r="J8" s="8" t="s">
        <v>25</v>
      </c>
      <c r="K8" s="9" t="s">
        <v>26</v>
      </c>
      <c r="N8" s="32" t="s">
        <v>27</v>
      </c>
      <c r="O8" s="30"/>
      <c r="P8" s="30"/>
      <c r="Q8" s="31"/>
    </row>
    <row r="9" spans="1:17" ht="24.75" customHeight="1" x14ac:dyDescent="0.3">
      <c r="A9" s="11" t="s">
        <v>29</v>
      </c>
      <c r="B9" s="11" t="s">
        <v>30</v>
      </c>
      <c r="C9" s="11" t="s">
        <v>0</v>
      </c>
      <c r="D9" s="11" t="s">
        <v>31</v>
      </c>
      <c r="E9" s="11" t="s">
        <v>32</v>
      </c>
      <c r="F9" s="11" t="s">
        <v>33</v>
      </c>
      <c r="G9" s="11" t="s">
        <v>34</v>
      </c>
      <c r="H9" s="11" t="s">
        <v>35</v>
      </c>
      <c r="I9" s="11" t="s">
        <v>36</v>
      </c>
      <c r="J9" s="11" t="s">
        <v>5</v>
      </c>
      <c r="K9" s="11" t="s">
        <v>37</v>
      </c>
      <c r="L9" s="11" t="s">
        <v>5</v>
      </c>
      <c r="M9" s="11" t="s">
        <v>37</v>
      </c>
      <c r="N9" s="11" t="s">
        <v>32</v>
      </c>
      <c r="O9" s="13" t="str">
        <f t="shared" ref="O9:Q9" si="2">F9</f>
        <v>Test Data</v>
      </c>
      <c r="P9" s="13" t="str">
        <f t="shared" si="2"/>
        <v>Expected Results</v>
      </c>
      <c r="Q9" s="13" t="str">
        <f t="shared" si="2"/>
        <v>Post-Condition</v>
      </c>
    </row>
    <row r="10" spans="1:17" ht="21.75" customHeight="1" x14ac:dyDescent="0.3">
      <c r="A10" s="33" t="s">
        <v>38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14"/>
      <c r="P10" s="14"/>
      <c r="Q10" s="14"/>
    </row>
    <row r="11" spans="1:17" ht="42" customHeight="1" x14ac:dyDescent="0.3">
      <c r="A11" s="16" t="s">
        <v>344</v>
      </c>
      <c r="B11" s="18" t="s">
        <v>345</v>
      </c>
      <c r="C11" s="18" t="s">
        <v>346</v>
      </c>
      <c r="D11" s="18" t="s">
        <v>49</v>
      </c>
      <c r="E11" s="18" t="s">
        <v>347</v>
      </c>
      <c r="F11" s="21" t="s">
        <v>348</v>
      </c>
      <c r="G11" s="18" t="s">
        <v>349</v>
      </c>
      <c r="H11" s="18" t="s">
        <v>350</v>
      </c>
      <c r="I11" s="18" t="str">
        <f t="shared" ref="I11:I20" si="3">G11</f>
        <v>201 response; key listed with status 201, replays 0</v>
      </c>
      <c r="J11" s="16" t="str">
        <f t="shared" ref="J11:J20" si="4">IF(G11=I11, "Pass", "Fail")</f>
        <v>Pass</v>
      </c>
      <c r="K11" s="16" t="s">
        <v>9</v>
      </c>
      <c r="L11" s="16" t="str">
        <f t="shared" ref="L11:M11" si="5">J11</f>
        <v>Pass</v>
      </c>
      <c r="M11" s="16" t="str">
        <f t="shared" si="5"/>
        <v>High</v>
      </c>
      <c r="N11" s="18" t="str">
        <f t="shared" ref="N11:N20" si="6">E11</f>
        <v>1. Register via API with key K1
2. Open Diagnostics → Idempotency store</v>
      </c>
      <c r="O11" s="22" t="s">
        <v>348</v>
      </c>
      <c r="P11" s="18" t="s">
        <v>349</v>
      </c>
      <c r="Q11" s="18" t="s">
        <v>350</v>
      </c>
    </row>
    <row r="12" spans="1:17" ht="42" customHeight="1" x14ac:dyDescent="0.3">
      <c r="A12" s="16" t="s">
        <v>356</v>
      </c>
      <c r="B12" s="18" t="s">
        <v>357</v>
      </c>
      <c r="C12" s="18" t="s">
        <v>358</v>
      </c>
      <c r="D12" s="18" t="s">
        <v>359</v>
      </c>
      <c r="E12" s="18" t="s">
        <v>360</v>
      </c>
      <c r="F12" s="21" t="s">
        <v>361</v>
      </c>
      <c r="G12" s="18" t="s">
        <v>362</v>
      </c>
      <c r="H12" s="18" t="s">
        <v>363</v>
      </c>
      <c r="I12" s="18" t="str">
        <f t="shared" si="3"/>
        <v>200 with replayed:true and SAME ref; UI toast "Already confirmed —"; replays = 1</v>
      </c>
      <c r="J12" s="16" t="str">
        <f t="shared" si="4"/>
        <v>Pass</v>
      </c>
      <c r="K12" s="16" t="s">
        <v>20</v>
      </c>
      <c r="L12" s="16" t="str">
        <f t="shared" ref="L12:M12" si="7">J12</f>
        <v>Pass</v>
      </c>
      <c r="M12" s="16" t="str">
        <f t="shared" si="7"/>
        <v>Critical</v>
      </c>
      <c r="N12" s="18" t="str">
        <f t="shared" si="6"/>
        <v>1. Repeat identical request with K1
2. Compare returned reference</v>
      </c>
      <c r="O12" s="22" t="s">
        <v>361</v>
      </c>
      <c r="P12" s="18" t="s">
        <v>362</v>
      </c>
      <c r="Q12" s="18" t="s">
        <v>363</v>
      </c>
    </row>
    <row r="13" spans="1:17" ht="42" customHeight="1" x14ac:dyDescent="0.3">
      <c r="A13" s="16" t="s">
        <v>364</v>
      </c>
      <c r="B13" s="18" t="s">
        <v>365</v>
      </c>
      <c r="C13" s="18" t="s">
        <v>366</v>
      </c>
      <c r="D13" s="18" t="s">
        <v>367</v>
      </c>
      <c r="E13" s="18" t="s">
        <v>368</v>
      </c>
      <c r="F13" s="21" t="s">
        <v>57</v>
      </c>
      <c r="G13" s="18" t="s">
        <v>369</v>
      </c>
      <c r="H13" s="18" t="s">
        <v>370</v>
      </c>
      <c r="I13" s="18" t="str">
        <f t="shared" si="3"/>
        <v>Enrolled increased by 1 only; seats consistent</v>
      </c>
      <c r="J13" s="16" t="str">
        <f t="shared" si="4"/>
        <v>Pass</v>
      </c>
      <c r="K13" s="16" t="s">
        <v>20</v>
      </c>
      <c r="L13" s="16" t="str">
        <f t="shared" ref="L13:M13" si="8">J13</f>
        <v>Pass</v>
      </c>
      <c r="M13" s="16" t="str">
        <f t="shared" si="8"/>
        <v>Critical</v>
      </c>
      <c r="N13" s="18" t="str">
        <f t="shared" si="6"/>
        <v>1. Check course enrolled / available</v>
      </c>
      <c r="O13" s="22" t="s">
        <v>57</v>
      </c>
      <c r="P13" s="18" t="s">
        <v>369</v>
      </c>
      <c r="Q13" s="18" t="s">
        <v>370</v>
      </c>
    </row>
    <row r="14" spans="1:17" ht="42" customHeight="1" x14ac:dyDescent="0.3">
      <c r="A14" s="16" t="s">
        <v>371</v>
      </c>
      <c r="B14" s="18" t="s">
        <v>372</v>
      </c>
      <c r="C14" s="18" t="s">
        <v>373</v>
      </c>
      <c r="D14" s="18" t="s">
        <v>374</v>
      </c>
      <c r="E14" s="18" t="s">
        <v>375</v>
      </c>
      <c r="F14" s="21" t="s">
        <v>376</v>
      </c>
      <c r="G14" s="18" t="s">
        <v>377</v>
      </c>
      <c r="H14" s="18" t="s">
        <v>165</v>
      </c>
      <c r="I14" s="18" t="str">
        <f t="shared" si="3"/>
        <v>422 "This key was already used for a different request."</v>
      </c>
      <c r="J14" s="16" t="str">
        <f t="shared" si="4"/>
        <v>Pass</v>
      </c>
      <c r="K14" s="16" t="s">
        <v>9</v>
      </c>
      <c r="L14" s="16" t="str">
        <f t="shared" ref="L14:M14" si="9">J14</f>
        <v>Pass</v>
      </c>
      <c r="M14" s="16" t="str">
        <f t="shared" si="9"/>
        <v>High</v>
      </c>
      <c r="N14" s="18" t="str">
        <f t="shared" si="6"/>
        <v>1. Send K1 with a different courseCode</v>
      </c>
      <c r="O14" s="22" t="s">
        <v>376</v>
      </c>
      <c r="P14" s="18" t="s">
        <v>377</v>
      </c>
      <c r="Q14" s="18" t="s">
        <v>165</v>
      </c>
    </row>
    <row r="15" spans="1:17" ht="42" customHeight="1" x14ac:dyDescent="0.3">
      <c r="A15" s="16" t="s">
        <v>378</v>
      </c>
      <c r="B15" s="18" t="s">
        <v>379</v>
      </c>
      <c r="C15" s="18" t="s">
        <v>380</v>
      </c>
      <c r="D15" s="18" t="s">
        <v>381</v>
      </c>
      <c r="E15" s="18" t="s">
        <v>382</v>
      </c>
      <c r="F15" s="21" t="s">
        <v>256</v>
      </c>
      <c r="G15" s="18" t="s">
        <v>383</v>
      </c>
      <c r="H15" s="18" t="s">
        <v>384</v>
      </c>
      <c r="I15" s="18" t="str">
        <f t="shared" si="3"/>
        <v>Connection cut (client error) BUT registration IS saved in My Registrations; Diagnostics "Responses lost" = 1</v>
      </c>
      <c r="J15" s="16" t="str">
        <f t="shared" si="4"/>
        <v>Pass</v>
      </c>
      <c r="K15" s="16" t="s">
        <v>20</v>
      </c>
      <c r="L15" s="16" t="str">
        <f t="shared" ref="L15:M15" si="10">J15</f>
        <v>Pass</v>
      </c>
      <c r="M15" s="16" t="str">
        <f t="shared" si="10"/>
        <v>Critical</v>
      </c>
      <c r="N15" s="18" t="str">
        <f t="shared" si="6"/>
        <v>1. Student registers
2. Observe client error</v>
      </c>
      <c r="O15" s="22" t="s">
        <v>256</v>
      </c>
      <c r="P15" s="18" t="s">
        <v>383</v>
      </c>
      <c r="Q15" s="18" t="s">
        <v>384</v>
      </c>
    </row>
    <row r="16" spans="1:17" ht="42" customHeight="1" x14ac:dyDescent="0.3">
      <c r="A16" s="16" t="s">
        <v>385</v>
      </c>
      <c r="B16" s="18" t="s">
        <v>386</v>
      </c>
      <c r="C16" s="18" t="s">
        <v>387</v>
      </c>
      <c r="D16" s="18" t="s">
        <v>388</v>
      </c>
      <c r="E16" s="18" t="s">
        <v>389</v>
      </c>
      <c r="F16" s="21" t="s">
        <v>361</v>
      </c>
      <c r="G16" s="18" t="s">
        <v>390</v>
      </c>
      <c r="H16" s="18" t="s">
        <v>391</v>
      </c>
      <c r="I16" s="18" t="str">
        <f t="shared" si="3"/>
        <v>Original confirmation replayed (same ref); no duplicate; "Duplicates absorbed" +1</v>
      </c>
      <c r="J16" s="16" t="str">
        <f t="shared" si="4"/>
        <v>Pass</v>
      </c>
      <c r="K16" s="16" t="s">
        <v>20</v>
      </c>
      <c r="L16" s="16" t="str">
        <f t="shared" ref="L16:M16" si="11">J16</f>
        <v>Pass</v>
      </c>
      <c r="M16" s="16" t="str">
        <f t="shared" si="11"/>
        <v>Critical</v>
      </c>
      <c r="N16" s="18" t="str">
        <f t="shared" si="6"/>
        <v>1. Press Retry (same key)
2. Check toast and registrations</v>
      </c>
      <c r="O16" s="22" t="s">
        <v>361</v>
      </c>
      <c r="P16" s="18" t="s">
        <v>390</v>
      </c>
      <c r="Q16" s="18" t="s">
        <v>391</v>
      </c>
    </row>
    <row r="17" spans="1:17" ht="42" customHeight="1" x14ac:dyDescent="0.3">
      <c r="A17" s="16" t="s">
        <v>392</v>
      </c>
      <c r="B17" s="18" t="s">
        <v>393</v>
      </c>
      <c r="C17" s="18" t="s">
        <v>394</v>
      </c>
      <c r="D17" s="18" t="s">
        <v>395</v>
      </c>
      <c r="E17" s="18" t="s">
        <v>396</v>
      </c>
      <c r="F17" s="21" t="s">
        <v>57</v>
      </c>
      <c r="G17" s="18" t="s">
        <v>397</v>
      </c>
      <c r="H17" s="18" t="s">
        <v>398</v>
      </c>
      <c r="I17" s="18" t="str">
        <f t="shared" si="3"/>
        <v>201 returned normally</v>
      </c>
      <c r="J17" s="16" t="str">
        <f t="shared" si="4"/>
        <v>Pass</v>
      </c>
      <c r="K17" s="16" t="s">
        <v>13</v>
      </c>
      <c r="L17" s="16" t="str">
        <f t="shared" ref="L17:M17" si="12">J17</f>
        <v>Pass</v>
      </c>
      <c r="M17" s="16" t="str">
        <f t="shared" si="12"/>
        <v>Medium</v>
      </c>
      <c r="N17" s="18" t="str">
        <f t="shared" si="6"/>
        <v>1. Arm 0
2. Register normally</v>
      </c>
      <c r="O17" s="22" t="s">
        <v>57</v>
      </c>
      <c r="P17" s="18" t="s">
        <v>397</v>
      </c>
      <c r="Q17" s="18" t="s">
        <v>398</v>
      </c>
    </row>
    <row r="18" spans="1:17" ht="42" customHeight="1" x14ac:dyDescent="0.3">
      <c r="A18" s="16" t="s">
        <v>399</v>
      </c>
      <c r="B18" s="18" t="s">
        <v>400</v>
      </c>
      <c r="C18" s="18" t="s">
        <v>401</v>
      </c>
      <c r="D18" s="18" t="s">
        <v>402</v>
      </c>
      <c r="E18" s="18" t="s">
        <v>403</v>
      </c>
      <c r="F18" s="21" t="s">
        <v>57</v>
      </c>
      <c r="G18" s="18" t="s">
        <v>404</v>
      </c>
      <c r="H18" s="18" t="s">
        <v>57</v>
      </c>
      <c r="I18" s="18" t="str">
        <f t="shared" si="3"/>
        <v>409 error delivered normally (connection NOT cut)</v>
      </c>
      <c r="J18" s="16" t="str">
        <f t="shared" si="4"/>
        <v>Pass</v>
      </c>
      <c r="K18" s="16" t="s">
        <v>13</v>
      </c>
      <c r="L18" s="16" t="str">
        <f t="shared" ref="L18:M18" si="13">J18</f>
        <v>Pass</v>
      </c>
      <c r="M18" s="16" t="str">
        <f t="shared" si="13"/>
        <v>Medium</v>
      </c>
      <c r="N18" s="18" t="str">
        <f t="shared" si="6"/>
        <v>1. Send duplicate-registration request (expects 409)</v>
      </c>
      <c r="O18" s="22" t="s">
        <v>57</v>
      </c>
      <c r="P18" s="18" t="s">
        <v>404</v>
      </c>
      <c r="Q18" s="18" t="s">
        <v>57</v>
      </c>
    </row>
    <row r="19" spans="1:17" ht="42" customHeight="1" x14ac:dyDescent="0.3">
      <c r="A19" s="16" t="s">
        <v>405</v>
      </c>
      <c r="B19" s="18" t="s">
        <v>406</v>
      </c>
      <c r="C19" s="18" t="s">
        <v>407</v>
      </c>
      <c r="D19" s="18" t="s">
        <v>402</v>
      </c>
      <c r="E19" s="18" t="s">
        <v>408</v>
      </c>
      <c r="F19" s="21" t="s">
        <v>57</v>
      </c>
      <c r="G19" s="18" t="s">
        <v>409</v>
      </c>
      <c r="H19" s="18" t="s">
        <v>410</v>
      </c>
      <c r="I19" s="18" t="str">
        <f t="shared" si="3"/>
        <v>Exactly one submission and one notification; retry replays confirmation</v>
      </c>
      <c r="J19" s="16" t="str">
        <f t="shared" si="4"/>
        <v>Pass</v>
      </c>
      <c r="K19" s="16" t="s">
        <v>20</v>
      </c>
      <c r="L19" s="16" t="str">
        <f t="shared" ref="L19:M19" si="14">J19</f>
        <v>Pass</v>
      </c>
      <c r="M19" s="16" t="str">
        <f t="shared" si="14"/>
        <v>Critical</v>
      </c>
      <c r="N19" s="18" t="str">
        <f t="shared" si="6"/>
        <v>1. Submit assignment
2. Retry same key
3. Check submissions and notifications</v>
      </c>
      <c r="O19" s="22" t="s">
        <v>57</v>
      </c>
      <c r="P19" s="18" t="s">
        <v>409</v>
      </c>
      <c r="Q19" s="18" t="s">
        <v>410</v>
      </c>
    </row>
    <row r="20" spans="1:17" ht="42" customHeight="1" x14ac:dyDescent="0.3">
      <c r="A20" s="16" t="s">
        <v>411</v>
      </c>
      <c r="B20" s="18" t="s">
        <v>412</v>
      </c>
      <c r="C20" s="18" t="s">
        <v>413</v>
      </c>
      <c r="D20" s="18" t="s">
        <v>414</v>
      </c>
      <c r="E20" s="18" t="s">
        <v>415</v>
      </c>
      <c r="F20" s="21" t="s">
        <v>57</v>
      </c>
      <c r="G20" s="18" t="s">
        <v>416</v>
      </c>
      <c r="H20" s="18" t="s">
        <v>417</v>
      </c>
      <c r="I20" s="18" t="str">
        <f t="shared" si="3"/>
        <v>All courses "✓ consistent"; Reset clears keys to 0</v>
      </c>
      <c r="J20" s="16" t="str">
        <f t="shared" si="4"/>
        <v>Pass</v>
      </c>
      <c r="K20" s="16" t="s">
        <v>9</v>
      </c>
      <c r="L20" s="16" t="str">
        <f t="shared" ref="L20:M20" si="15">J20</f>
        <v>Pass</v>
      </c>
      <c r="M20" s="16" t="str">
        <f t="shared" si="15"/>
        <v>High</v>
      </c>
      <c r="N20" s="18" t="str">
        <f t="shared" si="6"/>
        <v>1. Check seat-consistency table
2. Click Reset demo data</v>
      </c>
      <c r="O20" s="22" t="s">
        <v>57</v>
      </c>
      <c r="P20" s="18" t="s">
        <v>416</v>
      </c>
      <c r="Q20" s="18" t="s">
        <v>417</v>
      </c>
    </row>
    <row r="21" spans="1:17" ht="14.25" customHeight="1" x14ac:dyDescent="0.3"/>
    <row r="22" spans="1:17" ht="14.25" customHeight="1" x14ac:dyDescent="0.3"/>
    <row r="23" spans="1:17" ht="14.25" customHeight="1" x14ac:dyDescent="0.3"/>
    <row r="24" spans="1:17" ht="14.25" customHeight="1" x14ac:dyDescent="0.3"/>
    <row r="25" spans="1:17" ht="14.25" customHeight="1" x14ac:dyDescent="0.3"/>
    <row r="26" spans="1:17" ht="14.25" customHeight="1" x14ac:dyDescent="0.3"/>
    <row r="27" spans="1:17" ht="14.25" customHeight="1" x14ac:dyDescent="0.3"/>
    <row r="28" spans="1:17" ht="14.25" customHeight="1" x14ac:dyDescent="0.3"/>
    <row r="29" spans="1:17" ht="14.25" customHeight="1" x14ac:dyDescent="0.3"/>
    <row r="30" spans="1:17" ht="14.25" customHeight="1" x14ac:dyDescent="0.3"/>
    <row r="31" spans="1:17" ht="14.25" customHeight="1" x14ac:dyDescent="0.3"/>
    <row r="32" spans="1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6">
    <mergeCell ref="A10:N10"/>
    <mergeCell ref="A1:B2"/>
    <mergeCell ref="G1:J1"/>
    <mergeCell ref="K1:N1"/>
    <mergeCell ref="A8:I8"/>
    <mergeCell ref="N8:Q8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99"/>
  <sheetViews>
    <sheetView tabSelected="1" topLeftCell="N22" workbookViewId="0">
      <selection activeCell="C3" sqref="C3"/>
    </sheetView>
  </sheetViews>
  <sheetFormatPr defaultColWidth="14.44140625" defaultRowHeight="15" customHeight="1" x14ac:dyDescent="0.3"/>
  <cols>
    <col min="1" max="1" width="20.109375" customWidth="1"/>
    <col min="2" max="2" width="31.33203125" customWidth="1"/>
    <col min="3" max="3" width="32" customWidth="1"/>
    <col min="4" max="4" width="24" customWidth="1"/>
    <col min="5" max="5" width="32" customWidth="1"/>
    <col min="6" max="6" width="22" customWidth="1"/>
    <col min="7" max="7" width="35" customWidth="1"/>
    <col min="8" max="8" width="25" customWidth="1"/>
    <col min="9" max="9" width="35" customWidth="1"/>
    <col min="10" max="10" width="12" customWidth="1"/>
    <col min="11" max="11" width="14" customWidth="1"/>
    <col min="12" max="12" width="12" customWidth="1"/>
    <col min="13" max="13" width="14" customWidth="1"/>
    <col min="14" max="14" width="32" customWidth="1"/>
    <col min="15" max="15" width="25.109375" customWidth="1"/>
    <col min="16" max="16" width="31.5546875" customWidth="1"/>
    <col min="17" max="17" width="32" customWidth="1"/>
    <col min="18" max="26" width="8.6640625" customWidth="1"/>
  </cols>
  <sheetData>
    <row r="1" spans="1:17" ht="14.25" customHeight="1" x14ac:dyDescent="0.3">
      <c r="A1" s="23" t="s">
        <v>0</v>
      </c>
      <c r="B1" s="24"/>
      <c r="G1" s="27" t="s">
        <v>1</v>
      </c>
      <c r="H1" s="28"/>
      <c r="I1" s="28"/>
      <c r="J1" s="28"/>
      <c r="K1" s="27" t="s">
        <v>2</v>
      </c>
      <c r="L1" s="28"/>
      <c r="M1" s="28"/>
      <c r="N1" s="28"/>
    </row>
    <row r="2" spans="1:17" ht="14.25" customHeight="1" x14ac:dyDescent="0.3">
      <c r="A2" s="25"/>
      <c r="B2" s="26"/>
      <c r="G2" s="1" t="s">
        <v>3</v>
      </c>
      <c r="H2" s="2" t="s">
        <v>4</v>
      </c>
      <c r="I2" s="1" t="s">
        <v>5</v>
      </c>
      <c r="J2" s="2" t="s">
        <v>4</v>
      </c>
      <c r="K2" s="1" t="s">
        <v>3</v>
      </c>
      <c r="L2" s="2" t="s">
        <v>4</v>
      </c>
      <c r="M2" s="1" t="s">
        <v>5</v>
      </c>
      <c r="N2" s="2" t="s">
        <v>4</v>
      </c>
    </row>
    <row r="3" spans="1:17" ht="31.8" customHeight="1" x14ac:dyDescent="0.3">
      <c r="A3" s="3" t="s">
        <v>6</v>
      </c>
      <c r="B3" s="34" t="s">
        <v>8</v>
      </c>
      <c r="G3" s="5" t="s">
        <v>9</v>
      </c>
      <c r="H3" s="6">
        <f>COUNTIF(K11:K17, "High")</f>
        <v>2</v>
      </c>
      <c r="I3" s="5" t="s">
        <v>10</v>
      </c>
      <c r="J3" s="6">
        <f>COUNTIF(J11:J17, "Pass")</f>
        <v>7</v>
      </c>
      <c r="K3" s="5" t="s">
        <v>9</v>
      </c>
      <c r="L3" s="6">
        <f t="shared" ref="L3:L5" si="0">H3</f>
        <v>2</v>
      </c>
      <c r="M3" s="5" t="s">
        <v>10</v>
      </c>
      <c r="N3" s="6">
        <f t="shared" ref="N3:N5" si="1">J3</f>
        <v>7</v>
      </c>
    </row>
    <row r="4" spans="1:17" ht="33.6" customHeight="1" x14ac:dyDescent="0.3">
      <c r="A4" s="3" t="s">
        <v>11</v>
      </c>
      <c r="B4" s="34" t="s">
        <v>418</v>
      </c>
      <c r="G4" s="5" t="s">
        <v>13</v>
      </c>
      <c r="H4" s="6">
        <f>COUNTIF(K11:K17, "Medium")</f>
        <v>2</v>
      </c>
      <c r="I4" s="5" t="s">
        <v>16</v>
      </c>
      <c r="J4" s="6">
        <f>COUNTIF(J11:J17, "Fail")</f>
        <v>0</v>
      </c>
      <c r="K4" s="5" t="s">
        <v>13</v>
      </c>
      <c r="L4" s="6">
        <f t="shared" si="0"/>
        <v>2</v>
      </c>
      <c r="M4" s="5" t="s">
        <v>16</v>
      </c>
      <c r="N4" s="6">
        <f t="shared" si="1"/>
        <v>0</v>
      </c>
    </row>
    <row r="5" spans="1:17" ht="14.25" customHeight="1" x14ac:dyDescent="0.3">
      <c r="A5" s="3" t="s">
        <v>18</v>
      </c>
      <c r="B5" s="4" t="s">
        <v>19</v>
      </c>
      <c r="G5" s="5" t="s">
        <v>20</v>
      </c>
      <c r="H5" s="6">
        <f>COUNTIF(K11:K17, "Critical")</f>
        <v>2</v>
      </c>
      <c r="I5" s="5" t="s">
        <v>21</v>
      </c>
      <c r="J5" s="6">
        <f>COUNTIF(J11:J17, "Untested")</f>
        <v>0</v>
      </c>
      <c r="K5" s="5" t="s">
        <v>20</v>
      </c>
      <c r="L5" s="6">
        <f t="shared" si="0"/>
        <v>2</v>
      </c>
      <c r="M5" s="5" t="s">
        <v>21</v>
      </c>
      <c r="N5" s="6">
        <f t="shared" si="1"/>
        <v>0</v>
      </c>
    </row>
    <row r="6" spans="1:17" ht="14.25" customHeight="1" x14ac:dyDescent="0.3">
      <c r="A6" s="3" t="s">
        <v>22</v>
      </c>
      <c r="B6" s="7">
        <v>46310</v>
      </c>
    </row>
    <row r="7" spans="1:17" ht="14.25" customHeight="1" x14ac:dyDescent="0.3">
      <c r="A7" s="3" t="s">
        <v>23</v>
      </c>
      <c r="B7" s="7">
        <v>46311</v>
      </c>
    </row>
    <row r="8" spans="1:17" ht="27" customHeight="1" x14ac:dyDescent="0.3">
      <c r="A8" s="29" t="s">
        <v>24</v>
      </c>
      <c r="B8" s="30"/>
      <c r="C8" s="30"/>
      <c r="D8" s="30"/>
      <c r="E8" s="30"/>
      <c r="F8" s="30"/>
      <c r="G8" s="30"/>
      <c r="H8" s="30"/>
      <c r="I8" s="31"/>
      <c r="J8" s="8" t="s">
        <v>25</v>
      </c>
      <c r="K8" s="9" t="s">
        <v>26</v>
      </c>
      <c r="N8" s="32" t="s">
        <v>27</v>
      </c>
      <c r="O8" s="30"/>
      <c r="P8" s="30"/>
      <c r="Q8" s="31"/>
    </row>
    <row r="9" spans="1:17" ht="24.75" customHeight="1" x14ac:dyDescent="0.3">
      <c r="A9" s="11" t="s">
        <v>29</v>
      </c>
      <c r="B9" s="11" t="s">
        <v>30</v>
      </c>
      <c r="C9" s="11" t="s">
        <v>0</v>
      </c>
      <c r="D9" s="11" t="s">
        <v>31</v>
      </c>
      <c r="E9" s="11" t="s">
        <v>32</v>
      </c>
      <c r="F9" s="11" t="s">
        <v>33</v>
      </c>
      <c r="G9" s="11" t="s">
        <v>34</v>
      </c>
      <c r="H9" s="11" t="s">
        <v>35</v>
      </c>
      <c r="I9" s="11" t="s">
        <v>36</v>
      </c>
      <c r="J9" s="11" t="s">
        <v>5</v>
      </c>
      <c r="K9" s="11" t="s">
        <v>37</v>
      </c>
      <c r="L9" s="11" t="s">
        <v>5</v>
      </c>
      <c r="M9" s="11" t="s">
        <v>37</v>
      </c>
      <c r="N9" s="11" t="s">
        <v>32</v>
      </c>
      <c r="O9" s="13" t="str">
        <f t="shared" ref="O9:Q9" si="2">F9</f>
        <v>Test Data</v>
      </c>
      <c r="P9" s="13" t="str">
        <f t="shared" si="2"/>
        <v>Expected Results</v>
      </c>
      <c r="Q9" s="13" t="str">
        <f t="shared" si="2"/>
        <v>Post-Condition</v>
      </c>
    </row>
    <row r="10" spans="1:17" ht="21.75" customHeight="1" x14ac:dyDescent="0.3">
      <c r="A10" s="33" t="s">
        <v>420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14"/>
      <c r="P10" s="14"/>
      <c r="Q10" s="14"/>
    </row>
    <row r="11" spans="1:17" ht="42" customHeight="1" x14ac:dyDescent="0.3">
      <c r="A11" s="16" t="s">
        <v>422</v>
      </c>
      <c r="B11" s="18" t="s">
        <v>425</v>
      </c>
      <c r="C11" s="18" t="s">
        <v>426</v>
      </c>
      <c r="D11" s="18" t="s">
        <v>319</v>
      </c>
      <c r="E11" s="18" t="s">
        <v>428</v>
      </c>
      <c r="F11" s="21" t="s">
        <v>319</v>
      </c>
      <c r="G11" s="18" t="s">
        <v>431</v>
      </c>
      <c r="H11" s="18" t="s">
        <v>57</v>
      </c>
      <c r="I11" s="18" t="str">
        <f t="shared" ref="I11:I17" si="3">G11</f>
        <v>403 "Forbidden for your role" on every admin route</v>
      </c>
      <c r="J11" s="16" t="str">
        <f t="shared" ref="J11:J17" si="4">IF(G11=I11, "Pass", "Fail")</f>
        <v>Pass</v>
      </c>
      <c r="K11" s="16" t="s">
        <v>20</v>
      </c>
      <c r="L11" s="16" t="str">
        <f t="shared" ref="L11:M11" si="5">J11</f>
        <v>Pass</v>
      </c>
      <c r="M11" s="16" t="str">
        <f t="shared" si="5"/>
        <v>Critical</v>
      </c>
      <c r="N11" s="18" t="str">
        <f t="shared" ref="N11:N17" si="6">E11</f>
        <v>1. Call /api/admin/* endpoints with student token</v>
      </c>
      <c r="O11" s="21" t="s">
        <v>319</v>
      </c>
      <c r="P11" s="18" t="s">
        <v>431</v>
      </c>
      <c r="Q11" s="18" t="s">
        <v>57</v>
      </c>
    </row>
    <row r="12" spans="1:17" ht="42" customHeight="1" x14ac:dyDescent="0.3">
      <c r="A12" s="16" t="s">
        <v>439</v>
      </c>
      <c r="B12" s="18" t="s">
        <v>440</v>
      </c>
      <c r="C12" s="18" t="s">
        <v>426</v>
      </c>
      <c r="D12" s="18" t="s">
        <v>441</v>
      </c>
      <c r="E12" s="18" t="s">
        <v>442</v>
      </c>
      <c r="F12" s="21" t="s">
        <v>441</v>
      </c>
      <c r="G12" s="18" t="s">
        <v>322</v>
      </c>
      <c r="H12" s="18" t="s">
        <v>57</v>
      </c>
      <c r="I12" s="18" t="str">
        <f t="shared" si="3"/>
        <v>403 "Forbidden for your role"</v>
      </c>
      <c r="J12" s="16" t="str">
        <f t="shared" si="4"/>
        <v>Pass</v>
      </c>
      <c r="K12" s="16" t="s">
        <v>9</v>
      </c>
      <c r="L12" s="16" t="str">
        <f t="shared" ref="L12:M12" si="7">J12</f>
        <v>Pass</v>
      </c>
      <c r="M12" s="16" t="str">
        <f t="shared" si="7"/>
        <v>High</v>
      </c>
      <c r="N12" s="18" t="str">
        <f t="shared" si="6"/>
        <v>1. POST /api/registrations with lecturer token</v>
      </c>
      <c r="O12" s="21" t="s">
        <v>441</v>
      </c>
      <c r="P12" s="18" t="s">
        <v>322</v>
      </c>
      <c r="Q12" s="18" t="s">
        <v>57</v>
      </c>
    </row>
    <row r="13" spans="1:17" ht="42" customHeight="1" x14ac:dyDescent="0.3">
      <c r="A13" s="16" t="s">
        <v>449</v>
      </c>
      <c r="B13" s="18" t="s">
        <v>450</v>
      </c>
      <c r="C13" s="18" t="s">
        <v>451</v>
      </c>
      <c r="D13" s="18" t="s">
        <v>452</v>
      </c>
      <c r="E13" s="18" t="s">
        <v>453</v>
      </c>
      <c r="F13" s="21" t="s">
        <v>454</v>
      </c>
      <c r="G13" s="18" t="s">
        <v>455</v>
      </c>
      <c r="H13" s="18" t="s">
        <v>57</v>
      </c>
      <c r="I13" s="18" t="str">
        <f t="shared" si="3"/>
        <v>401 "Invalid username or password"; no crash, no login</v>
      </c>
      <c r="J13" s="16" t="str">
        <f t="shared" si="4"/>
        <v>Pass</v>
      </c>
      <c r="K13" s="16" t="s">
        <v>9</v>
      </c>
      <c r="L13" s="16" t="str">
        <f t="shared" ref="L13:M13" si="8">J13</f>
        <v>Pass</v>
      </c>
      <c r="M13" s="16" t="str">
        <f t="shared" si="8"/>
        <v>High</v>
      </c>
      <c r="N13" s="18" t="str">
        <f t="shared" si="6"/>
        <v>1. Enter injection string as username
2. Sign In</v>
      </c>
      <c r="O13" s="21" t="s">
        <v>454</v>
      </c>
      <c r="P13" s="18" t="s">
        <v>455</v>
      </c>
      <c r="Q13" s="18" t="s">
        <v>57</v>
      </c>
    </row>
    <row r="14" spans="1:17" ht="42" customHeight="1" x14ac:dyDescent="0.3">
      <c r="A14" s="16" t="s">
        <v>462</v>
      </c>
      <c r="B14" s="18" t="s">
        <v>464</v>
      </c>
      <c r="C14" s="18" t="s">
        <v>465</v>
      </c>
      <c r="D14" s="18" t="s">
        <v>329</v>
      </c>
      <c r="E14" s="18" t="s">
        <v>466</v>
      </c>
      <c r="F14" s="21" t="s">
        <v>467</v>
      </c>
      <c r="G14" s="18" t="s">
        <v>468</v>
      </c>
      <c r="H14" s="18" t="s">
        <v>57</v>
      </c>
      <c r="I14" s="18" t="str">
        <f t="shared" si="3"/>
        <v>Rendered as plain text (escaped); no script executes</v>
      </c>
      <c r="J14" s="16" t="str">
        <f t="shared" si="4"/>
        <v>Pass</v>
      </c>
      <c r="K14" s="16" t="s">
        <v>13</v>
      </c>
      <c r="L14" s="16" t="str">
        <f t="shared" ref="L14:M14" si="9">J14</f>
        <v>Pass</v>
      </c>
      <c r="M14" s="16" t="str">
        <f t="shared" si="9"/>
        <v>Medium</v>
      </c>
      <c r="N14" s="18" t="str">
        <f t="shared" si="6"/>
        <v>1. Create course named with script tag
2. View list</v>
      </c>
      <c r="O14" s="21" t="s">
        <v>467</v>
      </c>
      <c r="P14" s="18" t="s">
        <v>468</v>
      </c>
      <c r="Q14" s="18" t="s">
        <v>57</v>
      </c>
    </row>
    <row r="15" spans="1:17" ht="42" customHeight="1" x14ac:dyDescent="0.3">
      <c r="A15" s="16" t="s">
        <v>469</v>
      </c>
      <c r="B15" s="18" t="s">
        <v>470</v>
      </c>
      <c r="C15" s="18" t="s">
        <v>472</v>
      </c>
      <c r="D15" s="18" t="s">
        <v>474</v>
      </c>
      <c r="E15" s="18" t="s">
        <v>476</v>
      </c>
      <c r="F15" s="21" t="s">
        <v>57</v>
      </c>
      <c r="G15" s="18" t="s">
        <v>479</v>
      </c>
      <c r="H15" s="18" t="s">
        <v>480</v>
      </c>
      <c r="I15" s="18" t="str">
        <f t="shared" si="3"/>
        <v>Exactly one 201, the other 409 "full"; seats never negative</v>
      </c>
      <c r="J15" s="16" t="str">
        <f t="shared" si="4"/>
        <v>Pass</v>
      </c>
      <c r="K15" s="16" t="s">
        <v>20</v>
      </c>
      <c r="L15" s="16" t="str">
        <f t="shared" ref="L15:M15" si="10">J15</f>
        <v>Pass</v>
      </c>
      <c r="M15" s="16" t="str">
        <f t="shared" si="10"/>
        <v>Critical</v>
      </c>
      <c r="N15" s="18" t="str">
        <f t="shared" si="6"/>
        <v>1. Two students register simultaneously</v>
      </c>
      <c r="O15" s="21" t="s">
        <v>57</v>
      </c>
      <c r="P15" s="18" t="s">
        <v>479</v>
      </c>
      <c r="Q15" s="18" t="s">
        <v>480</v>
      </c>
    </row>
    <row r="16" spans="1:17" ht="42" customHeight="1" x14ac:dyDescent="0.3">
      <c r="A16" s="16" t="s">
        <v>483</v>
      </c>
      <c r="B16" s="18" t="s">
        <v>484</v>
      </c>
      <c r="C16" s="18" t="s">
        <v>485</v>
      </c>
      <c r="D16" s="18" t="s">
        <v>56</v>
      </c>
      <c r="E16" s="18" t="s">
        <v>486</v>
      </c>
      <c r="F16" s="21" t="s">
        <v>57</v>
      </c>
      <c r="G16" s="18" t="s">
        <v>487</v>
      </c>
      <c r="H16" s="18" t="s">
        <v>57</v>
      </c>
      <c r="I16" s="18" t="str">
        <f t="shared" si="3"/>
        <v>Each portal fully loads under 2 s locally</v>
      </c>
      <c r="J16" s="16" t="str">
        <f t="shared" si="4"/>
        <v>Pass</v>
      </c>
      <c r="K16" s="16" t="s">
        <v>13</v>
      </c>
      <c r="L16" s="16" t="str">
        <f t="shared" ref="L16:M16" si="11">J16</f>
        <v>Pass</v>
      </c>
      <c r="M16" s="16" t="str">
        <f t="shared" si="11"/>
        <v>Medium</v>
      </c>
      <c r="N16" s="18" t="str">
        <f t="shared" si="6"/>
        <v>1. Load each portal
2. Measure load time</v>
      </c>
      <c r="O16" s="21" t="s">
        <v>57</v>
      </c>
      <c r="P16" s="18" t="s">
        <v>487</v>
      </c>
      <c r="Q16" s="18" t="s">
        <v>57</v>
      </c>
    </row>
    <row r="17" spans="1:17" ht="42" customHeight="1" x14ac:dyDescent="0.3">
      <c r="A17" s="16" t="s">
        <v>495</v>
      </c>
      <c r="B17" s="18" t="s">
        <v>496</v>
      </c>
      <c r="C17" s="18" t="s">
        <v>497</v>
      </c>
      <c r="D17" s="18" t="s">
        <v>498</v>
      </c>
      <c r="E17" s="18" t="s">
        <v>499</v>
      </c>
      <c r="F17" s="21" t="s">
        <v>57</v>
      </c>
      <c r="G17" s="18" t="s">
        <v>500</v>
      </c>
      <c r="H17" s="18" t="s">
        <v>57</v>
      </c>
      <c r="I17" s="18" t="str">
        <f t="shared" si="3"/>
        <v>Grid stacks; no overlap or truncation</v>
      </c>
      <c r="J17" s="16" t="str">
        <f t="shared" si="4"/>
        <v>Pass</v>
      </c>
      <c r="K17" s="16" t="s">
        <v>65</v>
      </c>
      <c r="L17" s="16" t="str">
        <f t="shared" ref="L17:M17" si="12">J17</f>
        <v>Pass</v>
      </c>
      <c r="M17" s="16" t="str">
        <f t="shared" si="12"/>
        <v>Low</v>
      </c>
      <c r="N17" s="18" t="str">
        <f t="shared" si="6"/>
        <v>1. Open each portal
2. Check layout</v>
      </c>
      <c r="O17" s="21" t="s">
        <v>57</v>
      </c>
      <c r="P17" s="18" t="s">
        <v>500</v>
      </c>
      <c r="Q17" s="18" t="s">
        <v>57</v>
      </c>
    </row>
    <row r="18" spans="1:17" ht="14.25" customHeight="1" x14ac:dyDescent="0.3"/>
    <row r="19" spans="1:17" ht="14.25" customHeight="1" x14ac:dyDescent="0.3"/>
    <row r="20" spans="1:17" ht="14.25" customHeight="1" x14ac:dyDescent="0.3"/>
    <row r="21" spans="1:17" ht="14.25" customHeight="1" x14ac:dyDescent="0.3"/>
    <row r="22" spans="1:17" ht="14.25" customHeight="1" x14ac:dyDescent="0.3"/>
    <row r="23" spans="1:17" ht="14.25" customHeight="1" x14ac:dyDescent="0.3"/>
    <row r="24" spans="1:17" ht="14.25" customHeight="1" x14ac:dyDescent="0.3"/>
    <row r="25" spans="1:17" ht="14.25" customHeight="1" x14ac:dyDescent="0.3"/>
    <row r="26" spans="1:17" ht="14.25" customHeight="1" x14ac:dyDescent="0.3"/>
    <row r="27" spans="1:17" ht="14.25" customHeight="1" x14ac:dyDescent="0.3"/>
    <row r="28" spans="1:17" ht="14.25" customHeight="1" x14ac:dyDescent="0.3"/>
    <row r="29" spans="1:17" ht="14.25" customHeight="1" x14ac:dyDescent="0.3"/>
    <row r="30" spans="1:17" ht="14.25" customHeight="1" x14ac:dyDescent="0.3"/>
    <row r="31" spans="1:17" ht="14.25" customHeight="1" x14ac:dyDescent="0.3"/>
    <row r="32" spans="1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6">
    <mergeCell ref="A10:N10"/>
    <mergeCell ref="A1:B2"/>
    <mergeCell ref="G1:J1"/>
    <mergeCell ref="K1:N1"/>
    <mergeCell ref="A8:I8"/>
    <mergeCell ref="N8:Q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 &amp; Access Control</vt:lpstr>
      <vt:lpstr>Course Registration</vt:lpstr>
      <vt:lpstr>Learning Content</vt:lpstr>
      <vt:lpstr>Content Publishing</vt:lpstr>
      <vt:lpstr>Admin Portal</vt:lpstr>
      <vt:lpstr>Idempotency Core</vt:lpstr>
      <vt:lpstr>Security &amp; Non-Functional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Sanuji Nelithra</cp:lastModifiedBy>
  <dcterms:modified xsi:type="dcterms:W3CDTF">2026-10-16T21:09:19Z</dcterms:modified>
</cp:coreProperties>
</file>